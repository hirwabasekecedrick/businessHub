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aceability Matrix" sheetId="2" state="visible" r:id="rId4"/>
  </sheets>
  <definedNames>
    <definedName function="false" hidden="true" localSheetId="1" name="_xlnm._FilterDatabase" vbProcedure="false">'Traceability Matrix'!$A$1:$G$136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<sst xmlns="http://schemas.openxmlformats.org/spreadsheetml/2006/main" count="1006" uniqueCount="441">
  <si>
    <t xml:space="preserve">BusinessHub — Spec Compliance Audit</t>
  </si>
  <si>
    <t xml:space="preserve">Static source-code trace of all 9 modules, 36 user stories and ~90 functional requirements against the running codebase.</t>
  </si>
  <si>
    <t xml:space="preserve">Live execution was not possible from this session (no network path to the dev servers, node_modules unreachable) — every finding below is a code citation, not a test run.</t>
  </si>
  <si>
    <t xml:space="preserve">Module</t>
  </si>
  <si>
    <t xml:space="preserve">Implemented</t>
  </si>
  <si>
    <t xml:space="preserve">Partial</t>
  </si>
  <si>
    <t xml:space="preserve">Missing</t>
  </si>
  <si>
    <t xml:space="preserve">Missing (expected)</t>
  </si>
  <si>
    <t xml:space="preserve">Bug</t>
  </si>
  <si>
    <t xml:space="preserve">Total</t>
  </si>
  <si>
    <t xml:space="preserve">M1 Accounts &amp; Access</t>
  </si>
  <si>
    <t xml:space="preserve">M2 CRM</t>
  </si>
  <si>
    <t xml:space="preserve">M3 Requests &amp; Cases</t>
  </si>
  <si>
    <t xml:space="preserve">M4 Workflow</t>
  </si>
  <si>
    <t xml:space="preserve">M5 Documents</t>
  </si>
  <si>
    <t xml:space="preserve">M6 Finance</t>
  </si>
  <si>
    <t xml:space="preserve">M7 Communication</t>
  </si>
  <si>
    <t xml:space="preserve">M8 Reporting</t>
  </si>
  <si>
    <t xml:space="preserve">M9 Admin &amp; Audit</t>
  </si>
  <si>
    <t xml:space="preserve">TOTAL</t>
  </si>
  <si>
    <t xml:space="preserve">Highest-priority bugs (Must-have requirement + STATUS: Bug)</t>
  </si>
  <si>
    <t xml:space="preserve">FR-6.7</t>
  </si>
  <si>
    <t xml:space="preserve">amountPaid is incremented from a stale pre-transaction read rather than recomputed as SUM(successful payments) inside the transaction — two near-simultaneous payments on one invoice can race and silently under-credit it, contradicting §10.2's "sum recomputed server-side" requirement.</t>
  </si>
  <si>
    <t xml:space="preserve">FR-1.11</t>
  </si>
  <si>
    <t xml:space="preserve">None of these methods verify the target membership/user belongs to the caller's own organisation — only the caller's own permission is checked. A partner administrator can deactivate, remove, or change the role of a user in a completely different organisation, and read/update any user's profile by id — a cross-tenant IDOR issue.</t>
  </si>
  <si>
    <t xml:space="preserve">FR-1.10</t>
  </si>
  <si>
    <t xml:space="preserve">Read-only is enforced only in cases/finance/workflow modules — no check in tenancy.service.ts at all, so inviteUser/deactivateUser/changeRole/removeMember/createOrganization/createRole/updateRole remain callable during an active impersonation. Also, actions elsewhere during impersonation attribute audit events to the impersonated user, not the real actor — only the start/stop events correctly record both identities.</t>
  </si>
  <si>
    <t xml:space="preserve">US-1.3</t>
  </si>
  <si>
    <t xml:space="preserve">Clauses 1 and 3 pass. Clause 2 fails: switchOrganization never calls queryClient.clear()/invalidateQueries, and react-query keys don't include org id — for up to 15s after switching org, a re-mounted component can serve the previous organisation's cached rows under the new context, a real cross-tenant staleness bug.</t>
  </si>
  <si>
    <t xml:space="preserve">FR-5.1</t>
  </si>
  <si>
    <t xml:space="preserve">There is no real pre-signed-URL upload path in either backend or frontend — the entire mechanism is mocked/stubbed. Bytes never reach real object storage at all.</t>
  </si>
  <si>
    <t xml:space="preserve">FR-8.6</t>
  </si>
  <si>
    <t xml:space="preserve">Any authenticated org member, including a Visitor, can call GET /reports/dashboard directly and receive org-wide case counts and outstanding invoice totals with zero permission check — a report acting exactly as the spec says it must never be.</t>
  </si>
  <si>
    <t xml:space="preserve">FR-3.6</t>
  </si>
  <si>
    <t xml:space="preserve">For any CLOSED/ARCHIVED case, an illegal transition returns 403, not the spec-mandated 409 INVALID_TRANSITION. The legitimate CLOSED→ARCHIVED transition is also unreachable in practice — checkNotClosedForMutation blocks it before the transition table is even consulted, and no cron ever invokes it.</t>
  </si>
  <si>
    <t xml:space="preserve">US-3.3</t>
  </si>
  <si>
    <t xml:space="preserve">DRAFT→RESOLVED correctly 409s, but any illegal transition from a CLOSED case returns 403 instead — so the general "API returns 409 for any illegal transition" claim is false. History-row-same-transaction and reason-mandatory guards are correct. Concurrency guarantee is also broken: the case is read once outside the transaction and the in-transaction update has no status/version predicate or row lock — two concurrent transition requests can both succeed, each writing its own history row, despite a code comment claiming optimistic concurrency is enforced.</t>
  </si>
  <si>
    <t xml:space="preserve">US-4.2</t>
  </si>
  <si>
    <t xml:space="preserve">For a 2-level approval where each level is its own task, approving level 1 immediately transitions the case to APPROVED and notifies the requester even though level 2 is still PENDING and its task stays BLOCKED forever — decideApproval never unblocks the next task on approval (unlike the reject path, which correctly cancels all remaining levels). Clauses 1 (403+PENDING) and 4 (reject cascades) are correct; clauses 2 and 3 (next level opens, final level triggers APPROVED) are not.</t>
  </si>
  <si>
    <t xml:space="preserve">FR-1.3</t>
  </si>
  <si>
    <t xml:space="preserve">Two bugs: (1) changeRole lets an admin promote an existing never-enrolled member into Manager/Admin/Super with zero MFA check; (2) inviteUser's check is backwards — a brand-new invitee can never already have mfaSecret set, so every invite into a mandatory-MFA role is unconditionally rejected with 422, pre-empting the actual forced-enrolment-at-first-login mechanism.</t>
  </si>
  <si>
    <t xml:space="preserve">US-9.2</t>
  </si>
  <si>
    <t xml:space="preserve">"Available immediately, no restart" — met. "Invalid JSON Schema refused with parse error" — buggy: validation only runs if formSchema arrives as a raw string, but NestJS parses JSON bodies automatically so a normal client sends an object and the check is skipped entirely — any malformed schema silently saves; even when it does run, it only checks JSON syntax, never validates against the JSON Schema meta-schema. "Editing doesn't retroactively invalidate existing cases" — untestable: there is no PUT/PATCH endpoint for case types at all, only creation.</t>
  </si>
  <si>
    <t xml:space="preserve">US-9.3</t>
  </si>
  <si>
    <t xml:space="preserve">"See raw response and verdict" — the test is fully mocked, never returns a real provider's response. "Test fails ⇒ cannot be marked active" — buggy: upsertIntegration sets isActive directly from the request body with no check against lastTestResult, so an integration can be marked active without ever passing a test. "Secrets masked except last four characters" — buggy: masking replaces the entire value with a fixed '********' regardless of length, never preserving the last four characters as required.</t>
  </si>
  <si>
    <t xml:space="preserve">FR-6.8</t>
  </si>
  <si>
    <t xml:space="preserve">The "configurable" schedule has no effect on behavior, and there is no nightly job — overdue-sweep only runs when manually POSTed by an authenticated user, scoped to their own org.</t>
  </si>
  <si>
    <t xml:space="preserve">US-6.4</t>
  </si>
  <si>
    <t xml:space="preserve">"OVERDUE within the next nightly run" is unmet — no nightly job exists at all. The one-reminder-per-day-point logic is correct but uses the hardcoded non-configurable schedule (FR-6.8); the cancel-pending-reminders-on-payment code exists but is effectively dead since reminders are delivered inline at creation time.</t>
  </si>
  <si>
    <t xml:space="preserve">FR-7.4</t>
  </si>
  <si>
    <t xml:space="preserve">A user can suppress their own transactional case-assignment notification entirely, including the in-app record, via their own preferences — directly contradicting "always delivered."</t>
  </si>
  <si>
    <t xml:space="preserve">FR-2.2</t>
  </si>
  <si>
    <t xml:space="preserve">"Exactly one primary contact enforced by the database" is false — it's enforced only in application code via a transaction+updateMany, and is racy under concurrent writes. The frontend text literally claims DB enforcement (clients/[id]/page.tsx:172).</t>
  </si>
  <si>
    <t xml:space="preserve">See the "Traceability Matrix" tab for the full 135-row, item-by-item audit with file:line evidence.</t>
  </si>
  <si>
    <t xml:space="preserve">ID</t>
  </si>
  <si>
    <t xml:space="preserve">Type</t>
  </si>
  <si>
    <t xml:space="preserve">Priority</t>
  </si>
  <si>
    <t xml:space="preserve">Status</t>
  </si>
  <si>
    <t xml:space="preserve">Evidence</t>
  </si>
  <si>
    <t xml:space="preserve">Notes</t>
  </si>
  <si>
    <t xml:space="preserve">FR-1.1</t>
  </si>
  <si>
    <t xml:space="preserve">FR</t>
  </si>
  <si>
    <t xml:space="preserve">M</t>
  </si>
  <si>
    <t xml:space="preserve">identity.service.ts:46-97 (register), :124-138 (issueEmailVerification), :158-191 (verifyEmail blocks sign-in until verified)</t>
  </si>
  <si>
    <t xml:space="preserve">Registration, verification and password policy (12 chars + breach list, 422) all present; register() returns identical response whether email exists, resisting enumeration.</t>
  </si>
  <si>
    <t xml:space="preserve">FR-1.2</t>
  </si>
  <si>
    <t xml:space="preserve">identity.service.ts:328-335 (MFA_REQUIRED challenge on login), :450-507 (verifyMfa)</t>
  </si>
  <si>
    <t xml:space="preserve">Matches spec exactly, including 401 MFA_REQUIRED with challengeId.</t>
  </si>
  <si>
    <t xml:space="preserve">tenancy.service.ts:203-214 (inviteUser MFA check), tenancy.service.ts:405-435 (changeRole, no MFA check)</t>
  </si>
  <si>
    <t xml:space="preserve">FR-1.4</t>
  </si>
  <si>
    <t xml:space="preserve">identity.service.ts:203-235 (forgotPassword), :237-270 (resetPassword revokes all sessions in same transaction)</t>
  </si>
  <si>
    <t xml:space="preserve">Matches spec; token is single-use and time-limited (1 hour).</t>
  </si>
  <si>
    <t xml:space="preserve">FR-1.5</t>
  </si>
  <si>
    <t xml:space="preserve">auth-provider.tsx:261-267 (switchOrganization), lib/api.ts:99-103 (x-organization-id header), auth.guard.ts:84-97 (server re-scopes per request)</t>
  </si>
  <si>
    <t xml:space="preserve">Full re-scope without sign-out works end-to-end.</t>
  </si>
  <si>
    <t xml:space="preserve">FR-1.6</t>
  </si>
  <si>
    <t xml:space="preserve">tenancy.service.ts:169-255 (14-day expiry, email sent), :349-385 (resend/revoke)</t>
  </si>
  <si>
    <t xml:space="preserve">Backend resend/revoke logic is correct, but there is no GET list-invitations endpoint and no frontend page references resend or revoke — an administrator has no way to discover a pending invitation to act on it.</t>
  </si>
  <si>
    <t xml:space="preserve">FR-1.7</t>
  </si>
  <si>
    <t xml:space="preserve">tenancy.service.ts:485-563 (deactivateUser: DISABLED status, revokes all sessions, unassigns tasks in same transaction)</t>
  </si>
  <si>
    <t xml:space="preserve">Mechanics correct (see FR-1.11 for a cross-org scoping caveat on this same endpoint).</t>
  </si>
  <si>
    <t xml:space="preserve">FR-1.8</t>
  </si>
  <si>
    <t xml:space="preserve">S</t>
  </si>
  <si>
    <t xml:space="preserve">tenancy.service.ts:576-620 (createRole permission-subset check, updateRole SYSTEM_ROLE_IMMUTABLE)</t>
  </si>
  <si>
    <t xml:space="preserve">Edit-protection for system roles works server-side; there is no delete-role endpoint at all, and no frontend UI anywhere for creating/editing custom roles — backend-only feature.</t>
  </si>
  <si>
    <t xml:space="preserve">FR-1.9</t>
  </si>
  <si>
    <t xml:space="preserve">identity.service.ts:594-616 (getSessions/revokeSession), app/(app)/[role]/me/page.tsx:230-286 (session list UI)</t>
  </si>
  <si>
    <t xml:space="preserve">Device and revoke work; "last-seen" is actually session creation time, not true last activity; "location" is not implemented — only raw IP shown, no geo/city lookup.</t>
  </si>
  <si>
    <t xml:space="preserve">admin.controller.ts:146-192 (impersonate/stopImpersonation), case-ability.service.ts + cases/finance/workflow services (partial read-only enforcement)</t>
  </si>
  <si>
    <t xml:space="preserve">tenancy.service.ts:389-403 (removeMember), :405-435 (changeRole), :456-482 (getUser/updateUser), :485-488 (deactivateUser)</t>
  </si>
  <si>
    <t xml:space="preserve">FR-1.12</t>
  </si>
  <si>
    <t xml:space="preserve">identity.service.ts:302-309,326,557; tenancy.service.ts:425-433,610-618; admin.controller.ts:162-171,182-190</t>
  </si>
  <si>
    <t xml:space="preserve">All five required event types are written; minor inconsistency — LOGIN is logged before the MFA challenge resolves, so a sign-in later blocked by MFA still logs a LOGIN event.</t>
  </si>
  <si>
    <t xml:space="preserve">FR-1.13</t>
  </si>
  <si>
    <t xml:space="preserve">W</t>
  </si>
  <si>
    <t xml:space="preserve">grep for oidc/saml/sso/openid across apps/api and apps/web — no matches</t>
  </si>
  <si>
    <t xml:space="preserve">No SSO integration exists, consistent with the won't-have designation. No penalty.</t>
  </si>
  <si>
    <t xml:space="preserve">US-1.1</t>
  </si>
  <si>
    <t xml:space="preserve">US</t>
  </si>
  <si>
    <t xml:space="preserve">—</t>
  </si>
  <si>
    <t xml:space="preserve">identity.service.ts:46-73,85-97,281-283</t>
  </si>
  <si>
    <t xml:space="preserve">3 of 4 clauses solid (identical response on existing email, 422 with named rule, resend UX works). The "unverified sign-in → 403" clause is unmet — UnauthorizedException returns HTTP 401, not the spec's literal 403.</t>
  </si>
  <si>
    <t xml:space="preserve">US-1.2</t>
  </si>
  <si>
    <t xml:space="preserve">identity.service.ts:337-347,372-422,450-507; login/page.tsx:77-131</t>
  </si>
  <si>
    <t xml:space="preserve">All five acceptance clauses satisfied on both server and client.</t>
  </si>
  <si>
    <t xml:space="preserve">cases.service.ts:137-151 (org-scoped queries), auth.guard.ts:84-96 (403 ORG_FORBIDDEN + audit), query-provider.tsx / app-shell.tsx / cases/page.tsx (no org id in query key)</t>
  </si>
  <si>
    <t xml:space="preserve">US-1.4</t>
  </si>
  <si>
    <t xml:space="preserve">tenancy.service.ts:169-255,276-347,281-283,179-201</t>
  </si>
  <si>
    <t xml:space="preserve">All backend logic correct, but there is no frontend page anywhere to accept an invitation — an invitee who clicks the email link has nowhere to submit the token/set a password. Compounded by FR-1.3, which will also hard-block inviting new users into MFA-mandatory roles.</t>
  </si>
  <si>
    <t xml:space="preserve">US-1.5</t>
  </si>
  <si>
    <t xml:space="preserve">tenancy.service.ts:485-563, auth.guard.ts:73-82</t>
  </si>
  <si>
    <t xml:space="preserve">All three Given/When/Then clauses are mechanically satisfied; undermined by the FR-1.11 cross-org authorization gap on this same endpoint.</t>
  </si>
  <si>
    <t xml:space="preserve">FR-2.1</t>
  </si>
  <si>
    <t xml:space="preserve">crm.service.ts:30-76 (create + duplicate check), tenancy.service.ts:94-127 (update/suspend), crm.controller.ts:20-33 (no delete route)</t>
  </si>
  <si>
    <t xml:space="preserve">Create (with duplicate detection) and update/read work, but there is no logical-delete endpoint for organisations — suspendOrganization only flips status, never sets deletedAt.</t>
  </si>
  <si>
    <t xml:space="preserve">prisma/schema.prisma:283-303 (Contact model, no unique constraint on isPrimary), migrations/20260823191455_.../migration.sql (relevant unique index dropped), crm.service.ts:161-181 (app-code enforcement only)</t>
  </si>
  <si>
    <t xml:space="preserve">FR-2.3</t>
  </si>
  <si>
    <t xml:space="preserve">crm.service.ts:95-152 (getClientOverview)</t>
  </si>
  <si>
    <t xml:space="preserve">cases query has no status filter (returns all, not just open); no Contract model exists anywhere in the schema; no activity/audit trail included despite AuditEvent existing.</t>
  </si>
  <si>
    <t xml:space="preserve">FR-2.4</t>
  </si>
  <si>
    <t xml:space="preserve">crm.service.ts:190-223 (updateConsents)</t>
  </si>
  <si>
    <t xml:space="preserve">Actor + timestamp + before/after recorded, but consents are a flat per-contact boolean map, not modeled per channel, and no "source of consent" field is captured anywhere.</t>
  </si>
  <si>
    <t xml:space="preserve">FR-2.5</t>
  </si>
  <si>
    <t xml:space="preserve">crm.service.ts:107-120</t>
  </si>
  <si>
    <t xml:space="preserve">Checklist correctly built from required categories and expiry dates.</t>
  </si>
  <si>
    <t xml:space="preserve">FR-2.6</t>
  </si>
  <si>
    <t xml:space="preserve">crm.service.ts:226-271 (grantPortalAccess)</t>
  </si>
  <si>
    <t xml:space="preserve">Functionally correct and audited (PORTAL_ACCESS_GRANTED); user-create + membership-upsert aren't wrapped in one DB transaction, so a mid-failure could orphan a user.</t>
  </si>
  <si>
    <t xml:space="preserve">FR-2.7</t>
  </si>
  <si>
    <t xml:space="preserve">crm.service.ts:520-600 (search); no to_tsvector/GIN/pg_trgm anywhere in migrations</t>
  </si>
  <si>
    <t xml:space="preserve">Uses plain contains/ILIKE scans with no supporting index — not true full-text search, and the &lt;500ms@100k requirement is architecturally unlikely to hold. Also unused by the frontend.</t>
  </si>
  <si>
    <t xml:space="preserve">FR-2.8</t>
  </si>
  <si>
    <t xml:space="preserve">crm.service.ts:487-494 (getSegments)</t>
  </si>
  <si>
    <t xml:space="preserve">Just filters organization.settings.tags in memory — no persisted saved-segment entity, no live-count-only response, no wiring to notification audiences.</t>
  </si>
  <si>
    <t xml:space="preserve">FR-2.9</t>
  </si>
  <si>
    <t xml:space="preserve">crm.service.ts:496-512 (exportCrm)</t>
  </si>
  <si>
    <t xml:space="preserve">Audited as required, but built synchronously inline (Job created already DONE) — not asynchronous — and only CSV is supported, not XLSX.</t>
  </si>
  <si>
    <t xml:space="preserve">FR-2.10</t>
  </si>
  <si>
    <t xml:space="preserve">C</t>
  </si>
  <si>
    <t xml:space="preserve">grep for "merge" across apps/api/src — no organisation-merge logic anywhere</t>
  </si>
  <si>
    <t xml:space="preserve">No endpoint, service method, or redirect mechanism for merging duplicate organisations.</t>
  </si>
  <si>
    <t xml:space="preserve">US-2.1</t>
  </si>
  <si>
    <t xml:space="preserve">crm.service.ts:32-49 (409 on exact tax-id match), :44-49/603-617 (similarity warning), :62-69 (audit on create)</t>
  </si>
  <si>
    <t xml:space="preserve">Clause 1 (409) met, though response carries existingId not a link. Clause 2's similarity function is a crude positional-character comparator, not real string similarity, and the warning fires after creation, not blocking a save. Clause 3 is weak — no explicit confirm-distinct step; the acknowledgement flag is written unconditionally. No frontend create-organisation form exists at all.</t>
  </si>
  <si>
    <t xml:space="preserve">US-2.2</t>
  </si>
  <si>
    <t xml:space="preserve">crm.service.ts:95-152, clients/[id]/page.tsx:116-131,246-296</t>
  </si>
  <si>
    <t xml:space="preserve">Clauses 2 and 3 (compliance warning state, finance panel server-omitted not CSS-hidden) solidly implemented. Clause 1 is structurally one request but the payload is missing contracts (no model) and activity trail; no performance test exists to substantiate the 1.5s p95 claim.</t>
  </si>
  <si>
    <t xml:space="preserve">US-2.3</t>
  </si>
  <si>
    <t xml:space="preserve">crm.service.ts:286-471 (sweepCompliance)</t>
  </si>
  <si>
    <t xml:space="preserve">All three Given/When/Then mechanics are coded correctly and idempotently, but there is no @Cron/scheduler anywhere in apps/api — the sweep only runs when manually POSTed, so nothing is actually surfaced automatically. No daily-digest feature exists either (notification explicitly sent with batchedDigest:false).</t>
  </si>
  <si>
    <t xml:space="preserve">US-2.4</t>
  </si>
  <si>
    <t xml:space="preserve">notification.service.ts:46-120 (notify() has no consent/category check at all), schema.prisma:720-731 (no category/MARKETING field on NotificationTemplate), crm.service.ts:214-221 (consent audit correct)</t>
  </si>
  <si>
    <t xml:space="preserve">Clause 3 (audit of consent change) is correct. Clauses 1 and 2 are not: there is no MARKETING category concept anywhere in the notification pipeline — a contact who withdraws marketing consent will still receive any "marketing" message, since the dispatcher never reads Contact.consents at all.</t>
  </si>
  <si>
    <t xml:space="preserve">FR-3.1</t>
  </si>
  <si>
    <t xml:space="preserve">prisma/schema.prisma:305-322 (CaseType model), case-types.controller.ts:34-45</t>
  </si>
  <si>
    <t xml:space="preserve">All six configurable dimensions present and settable.</t>
  </si>
  <si>
    <t xml:space="preserve">FR-3.2</t>
  </si>
  <si>
    <t xml:space="preserve">cases.service.ts:41,52,107 (prefix='CASE', gapless in $transaction), public.controller.ts:146 (REQ-${Date.now()...} non-gapless)</t>
  </si>
  <si>
    <t xml:space="preserve">The gapless, transactional sequence generator produces CASE-YYYY-NNNNNN, not the spec's REQ-YYYY-NNNNNN; the only REQ- prefix code (public intake) is a non-gapless Date.now()-based string bypassing the sequence table entirely. Neither path satisfies both requirements together.</t>
  </si>
  <si>
    <t xml:space="preserve">FR-3.3</t>
  </si>
  <si>
    <t xml:space="preserve">cases/page.tsx:262-321 (fixed fields only, no schema rendering); apps/mobile is an empty .gitkeep stub</t>
  </si>
  <si>
    <t xml:space="preserve">No dynamic-form/JSON-Schema renderer exists anywhere in the web app, and mobile is an empty stub. Server-side schema validation exists (cases.service.ts:60-81) but has no client-side counterpart driven by the same schema.</t>
  </si>
  <si>
    <t xml:space="preserve">FR-3.4</t>
  </si>
  <si>
    <t xml:space="preserve">documents.controller.ts:23-58 (upload-sessions, filterable by caseId)</t>
  </si>
  <si>
    <t xml:space="preserve">Documents can be attached at any point independent of case status.</t>
  </si>
  <si>
    <t xml:space="preserve">FR-3.5</t>
  </si>
  <si>
    <t xml:space="preserve">cases.service.ts:314 (calendar resolved from caller's org, not case's owning org), :322 (SUBMITTED→QUALIFIED recompute passes {} calendar override)</t>
  </si>
  <si>
    <t xml:space="preserve">The business-calendar engine itself (sla.util.ts:45-66) is solid, but resolves the wrong organisation's calendar, and the QUALIFIED recompute silently discards the org's configured calendar in favor of a hardcoded Mon-Fri 8-17 default.</t>
  </si>
  <si>
    <t xml:space="preserve">case-ability.service.ts:59-70 (403 short-circuit for closed cases, called before the 409 check at cases.service.ts:271-280)</t>
  </si>
  <si>
    <t xml:space="preserve">FR-3.7</t>
  </si>
  <si>
    <t xml:space="preserve">cases.service.ts:325-401 (ownerUserId only), :502-504 (assignCase)</t>
  </si>
  <si>
    <t xml:space="preserve">Manual assignment to a named user works. No role-queue assignment and no round-robin rule exist — CaseType has no round-robin config field.</t>
  </si>
  <si>
    <t xml:space="preserve">FR-3.8</t>
  </si>
  <si>
    <t xml:space="preserve">cases.service.ts:599-611 (getCaseComments filters isInternal:false at the query level)</t>
  </si>
  <si>
    <t xml:space="preserve">Internal comments excluded by the Prisma where clause itself — correctly invisible at the API level.</t>
  </si>
  <si>
    <t xml:space="preserve">FR-3.9</t>
  </si>
  <si>
    <t xml:space="preserve">cases.service.ts:522-542 (getHistory strips actor/reason for non-staff roles)</t>
  </si>
  <si>
    <t xml:space="preserve">Full history for staff, simplified {from,to,at} for client/portal. Minor gap: neither the API response nor the frontend Lifecycle panel surfaces an "expected date" alongside the timeline.</t>
  </si>
  <si>
    <t xml:space="preserve">FR-3.10</t>
  </si>
  <si>
    <t xml:space="preserve">cases.service.ts:544-559 (bulkAssign, 1-100 size check, per-case try/catch and own $transaction)</t>
  </si>
  <si>
    <t xml:space="preserve">Correctly transactional per case with a per-case {caseId, ok, error} result array.</t>
  </si>
  <si>
    <t xml:space="preserve">FR-3.11</t>
  </si>
  <si>
    <t xml:space="preserve">cases.service.ts:418-426 (30-day window, reason mandatory)</t>
  </si>
  <si>
    <t xml:space="preserve">Window and mandatory-reason correct; the "shortened SLA" recompute again passes {} for the calendar override (same defect as FR-3.5), so it ignores the org's actual business calendar.</t>
  </si>
  <si>
    <t xml:space="preserve">FR-3.12</t>
  </si>
  <si>
    <t xml:space="preserve">grep for merge/linkedCase/relatedCase/duplicate under cases module and schema — no matches</t>
  </si>
  <si>
    <t xml:space="preserve">No merge or case-linking capability exists.</t>
  </si>
  <si>
    <t xml:space="preserve">US-3.1</t>
  </si>
  <si>
    <t xml:space="preserve">cases.service.ts:291-304,311-316,457-471; cases/page.tsx:271-309; cases/[id]/page.tsx:171-173</t>
  </si>
  <si>
    <t xml:space="preserve">Clause 1 (422 with field highlighted) exists server-side but is unreachable through the UI — the web form has no schema-driven fields to highlight. Clauses 2-4 (reference issued, SLA due date visible, missing-doc list) are implemented, though the reference is generated at creation, before submission, per FR-3.2's literal wording.</t>
  </si>
  <si>
    <t xml:space="preserve">US-3.2</t>
  </si>
  <si>
    <t xml:space="preserve">cases.service.ts:164-199 (sort+at-risk), cases/page.tsx (filters as local React state only)</t>
  </si>
  <si>
    <t xml:space="preserve">Sort-by-SLA-with-breach-pinned is implemented server-side; at-risk 20% threshold works on web (unverifiable on mobile, which is an empty stub). "Filter reflected in URL, shareable" is missing entirely — filters are never synced to useSearchParams, and there is no priority filter control despite API support. 10k-case/&lt;400ms budget is unverifiable from source (no load test), and the query does an unindexed in-JS re-sort, a code smell against that budget.</t>
  </si>
  <si>
    <t xml:space="preserve">cases.service.ts:266-280,307-444,283-289,429; case-ability.service.ts:59-70; schema.prisma:324-367 (no version column on Case)</t>
  </si>
  <si>
    <t xml:space="preserve">US-3.4</t>
  </si>
  <si>
    <t xml:space="preserve">cases.service.ts:522-542,599-611; cases/[id]/page.tsx:324-353</t>
  </si>
  <si>
    <t xml:space="preserve">Simplified timeline and internal-comment exclusion are implemented; the "expected date" isn't tied into the timeline. The "prominent action banner naming what's needed and by when" is entirely missing — no UI element surfaces AWAITING_INFO's required-items text or deadline, and the reason field itself is stripped from the simplified history for the very audience it's meant for.</t>
  </si>
  <si>
    <t xml:space="preserve">TRANSITIONS</t>
  </si>
  <si>
    <t xml:space="preserve">Other</t>
  </si>
  <si>
    <t xml:space="preserve">transitions.ts:1-177 (declarative array, matches spec's 18 rows on from/to/permission); cases.service.ts:265-444 (only consumer); workflow.service.ts:453-491 (bypasses the map)</t>
  </si>
  <si>
    <t xml:space="preserve">Structurally follows the spec's declarative-map convention and matches the state table on paper, but: (a) most declared "guard conditions" are never actually enforced in code — only reason-mandatory and the DRAFT→SUBMITTED field/doc guard are checked; (b) reason-mandatory logic is split across the map's own flag and a separate hardcoded set in cases.service.ts; (c) the automatic SLA-breach escalation path in workflow.service.ts writes status changes via raw Prisma calls that completely bypass the transition map, a second unvalidated transition mechanism.</t>
  </si>
  <si>
    <t xml:space="preserve">FR-4.1</t>
  </si>
  <si>
    <t xml:space="preserve">cases.service.ts:336-399,353-355 (hardcoded 1hr-per-remaining-step formula)</t>
  </si>
  <si>
    <t xml:space="preserve">Template steps carry ordered type/title/roleCode/level correctly, but no per-step "due offset" field is ever read, and no "guard" field on a step is read anywhere — due dates are synthesized by a formula unrelated to template config.</t>
  </si>
  <si>
    <t xml:space="preserve">FR-4.2</t>
  </si>
  <si>
    <t xml:space="preserve">cases.service.ts:328-336 (templateVersionId), schema.prisma:330, workflow.service.ts:339-354 (create-new-version only)</t>
  </si>
  <si>
    <t xml:space="preserve">No in-place template edit endpoint exists, so already-instantiated cases genuinely keep their original version.</t>
  </si>
  <si>
    <t xml:space="preserve">FR-4.3</t>
  </si>
  <si>
    <t xml:space="preserve">workflow.service.ts:73-89 (claimTask checks Membership for assigneeRoleId)</t>
  </si>
  <si>
    <t xml:space="preserve">Minor looseness: getTasks(assigneeMe) shows all unassigned role-queue tasks regardless of whether the caller holds that role — only the claim action itself is gated.</t>
  </si>
  <si>
    <t xml:space="preserve">FR-4.4</t>
  </si>
  <si>
    <t xml:space="preserve">workflow.service.ts:196,209-216 (requiredRoleId per level, 403 if caller's level too low)</t>
  </si>
  <si>
    <t xml:space="preserve">Role-per-level and level gate work correctly in isolation; multi-level sequencing itself is broken (see US-4.2).</t>
  </si>
  <si>
    <t xml:space="preserve">FR-4.5</t>
  </si>
  <si>
    <t xml:space="preserve">workflow.service.ts:111-159 (completeTask unblocks + notifies synchronously)</t>
  </si>
  <si>
    <t xml:space="preserve">Matches the single-successor sequencing model, well under the 60s bound.</t>
  </si>
  <si>
    <t xml:space="preserve">FR-4.6</t>
  </si>
  <si>
    <t xml:space="preserve">workflow.service.ts:404-417 (only SLA_(n)PCT and NO_ACTIVITY triggers parsed), :500-531 (only REASSIGN* special-cased, everything else falls through to default notify)</t>
  </si>
  <si>
    <t xml:space="preserve">"Notify" and "reassign" are the only data-driven actions; "raise priority" and "escalate the case" are not configurable per-rule, only auto-fired at the hardcoded 100% breach path. The web UI even offers an ESCALATE_STATUS rule action that has zero effect.</t>
  </si>
  <si>
    <t xml:space="preserve">FR-4.7</t>
  </si>
  <si>
    <t xml:space="preserve">workflow.service.ts:571-634 (runReminders, org-level thresholds, idempotent via Notification lookup)</t>
  </si>
  <si>
    <t xml:space="preserve">Configurable per-organisation as specified, but not per task type — one threshold list applies to every task type; also only reachable via manual POST, no scheduler invokes it automatically.</t>
  </si>
  <si>
    <t xml:space="preserve">FR-4.8</t>
  </si>
  <si>
    <t xml:space="preserve">workflow.service.ts:304-314 (delegateApproval checks only the delegator's own level, never the delegate's), :209-216 (isDelegate branch bypasses the level check entirely)</t>
  </si>
  <si>
    <t xml:space="preserve">A level-3 approver can delegate to a level-0 user, who can then decide the level-3 approval — directly violating "peer at the same level or above." "Bounded period" is also unenforced: expiresAt is written but never read anywhere in the codebase.</t>
  </si>
  <si>
    <t xml:space="preserve">FR-4.9</t>
  </si>
  <si>
    <t xml:space="preserve">workflow.service.ts:196-216 (level gate applies identically regardless of isOverride), :251-277 (only case creator notified, never the original approver)</t>
  </si>
  <si>
    <t xml:space="preserve">An override does not actually bypass the routing-level restriction it exists to bypass — a manager holding only approval.override but not the approval's own level still gets 403. Audit trail is correctly recorded, but the "original approver is notified" clause has no corresponding code path.</t>
  </si>
  <si>
    <t xml:space="preserve">FR-4.10</t>
  </si>
  <si>
    <t xml:space="preserve">grep for process-template/ProcessTemplate in apps/web — no matches</t>
  </si>
  <si>
    <t xml:space="preserve">No visual process-template editor; templates can only be created via raw JSON POST.</t>
  </si>
  <si>
    <t xml:space="preserve">US-4.1</t>
  </si>
  <si>
    <t xml:space="preserve">cases.service.ts:311-399, workflow.service.ts:111-159</t>
  </si>
  <si>
    <t xml:space="preserve">Clause 1 (due dates from template offsets) fails per FR-4.1 — offsets aren't read at all. Clauses 2 and 3 (unblock+notify, version pinning) are solidly implemented.</t>
  </si>
  <si>
    <t xml:space="preserve">workflow.service.ts:262-277 (nextPending scoped only to the current task's approval)</t>
  </si>
  <si>
    <t xml:space="preserve">US-4.3</t>
  </si>
  <si>
    <t xml:space="preserve">workflow.service.ts:388-568, controller.ts:144-148 (manual POST only, no @Cron), UI has a "Run sweep now" button</t>
  </si>
  <si>
    <t xml:space="preserve">The story's core premise — escalations fire on their own — is unmet; nothing calls sweep() on a timer. Once manually invoked, the sweep logic itself is largely correct (fires once, skips paused cases, correctly transitions+raises priority+appears in escalation queue), but no persisted "last processed timestamp" cursor exists per §10.3 — idempotency relies solely on scanning Notification rows.</t>
  </si>
  <si>
    <t xml:space="preserve">US-4.4</t>
  </si>
  <si>
    <t xml:space="preserve">workflow.service.ts:303-324,174-190,209-216,279-287; schema.prisma Approval model has no delegatedFromId</t>
  </si>
  <si>
    <t xml:space="preserve">Delegation operates on one already-existing approval by id, not a standing date-range rule, and once delegated the item disappears from the original approver's own queue instead of showing there tagged "delegated." expiresAt is never checked, so delegation never stops automatically. The decision's audit record has no field recording who the original approver was.</t>
  </si>
  <si>
    <t xml:space="preserve">documents.service.ts:56-90 (uploadUrl is mock://storage/..., client-supplied checksum/size accepted verbatim); s3.service.ts (real getPresignedUploadUrl exists but is never imported anywhere); documents/page.tsx:112-126 (no File/FormData, hardcoded sizeBytes:1024)</t>
  </si>
  <si>
    <t xml:space="preserve">FR-5.2</t>
  </si>
  <si>
    <t xml:space="preserve">documents.service.ts:65-90 (checksum defaults to random bytes if client omits it); s3.service.ts (verifyObjectExistsAndChecksum is a stub always returning true, never called)</t>
  </si>
  <si>
    <t xml:space="preserve">No server-side recomputation or independent verification of size/checksum against actual stored bytes occurs anywhere.</t>
  </si>
  <si>
    <t xml:space="preserve">FR-5.3</t>
  </si>
  <si>
    <t xml:space="preserve">documents.service.ts:65,96-102 (INFECTED sessions fail before a Document row exists); crm.service.ts:113,116,312 (scanStatus==='CLEAN' gates the checklist)</t>
  </si>
  <si>
    <t xml:space="preserve">Enforcement is real but the "virus scan" is only a hardcoded filename check for the string "eicar"; getDownloadUrl never re-checks scanStatus at grant time, so there's no defense-in-depth.</t>
  </si>
  <si>
    <t xml:space="preserve">FR-5.4</t>
  </si>
  <si>
    <t xml:space="preserve">documents.service.ts:191-226 (version increment + parentId correct), :228-236 (old versions retrievable), :39-50 (main list has no filter excluding superseded versions)</t>
  </si>
  <si>
    <t xml:space="preserve">Parent chain and per-version retrieval work, but "the newest version is current" (default view shows only latest) is not implemented — every version appears together in listings.</t>
  </si>
  <si>
    <t xml:space="preserve">FR-5.5</t>
  </si>
  <si>
    <t xml:space="preserve">documents.service.ts:134-149 (confidentialHidden check; case-owner exception never implemented; !scopedOrg skips the whole CONFIDENTIAL check for client-scoped users)</t>
  </si>
  <si>
    <t xml:space="preserve">Two bugs: (1) the required "case owner" exception is never implemented, wrongly blocking genuine case owners; (2) a client with plain document.read can fetch a CONFIDENTIAL download URL in their own org with no classify permission and without being case owner. Also PUBLIC/INTERNAL/RESTRICTED aren't differentiated from each other — only CONFIDENTIAL has special-case logic.</t>
  </si>
  <si>
    <t xml:space="preserve">FR-5.6</t>
  </si>
  <si>
    <t xml:space="preserve">schema.prisma:494-495 (category, expiresAt), crm.service.ts:100-119,279-460</t>
  </si>
  <si>
    <t xml:space="preserve">Correctly feeds the M2 compliance checklist and compliance sweep, including the CLEAN-scan gate.</t>
  </si>
  <si>
    <t xml:space="preserve">FR-5.7</t>
  </si>
  <si>
    <t xml:space="preserve">documents.service.ts:150-159 (5-min expiry, single-use, audited), documents.controller.ts:39-42 (no @Req(), no IP ever available)</t>
  </si>
  <si>
    <t xml:space="preserve">5-minute expiry and requesting-user audit correct, but no IP is ever captured despite AuditService supporting one and the pattern being used elsewhere (identity.controller.ts).</t>
  </si>
  <si>
    <t xml:space="preserve">FR-5.8</t>
  </si>
  <si>
    <t xml:space="preserve">grep for magic/file-type/50*1024/MAX_FILE_SIZE/allowedMimeTypes — no matches anywhere</t>
  </si>
  <si>
    <t xml:space="preserve">No max-file-size enforcement, no accepted-type allowlist, no magic-byte verification anywhere. Type is at best inferred from filename extension client-side, for display only.</t>
  </si>
  <si>
    <t xml:space="preserve">FR-5.9</t>
  </si>
  <si>
    <t xml:space="preserve">documents.service.ts:257-282 (signers as raw JSON array, single overall status), schema.prisma:513-527 (no per-signer status/order field)</t>
  </si>
  <si>
    <t xml:space="preserve">Request creation, status tracking, and completion-certificate storage exist, but no enforcement or tracking of signer order — signers is just an unordered list.</t>
  </si>
  <si>
    <t xml:space="preserve">FR-5.10</t>
  </si>
  <si>
    <t xml:space="preserve">grep for DocumentTemplate/docTemplate — no matches</t>
  </si>
  <si>
    <t xml:space="preserve">No document-template/variable-substitution feature exists.</t>
  </si>
  <si>
    <t xml:space="preserve">FR-5.11</t>
  </si>
  <si>
    <t xml:space="preserve">documents.service.ts:39-50 (caseId filter only, no content search)</t>
  </si>
  <si>
    <t xml:space="preserve">Correctly absent, matching the won't-have designation. No penalty.</t>
  </si>
  <si>
    <t xml:space="preserve">US-5.1</t>
  </si>
  <si>
    <t xml:space="preserve">documents/page.tsx:112-126 (no file picker, hardcoded 1024-byte size), documents.service.ts:56-90 (mock:// URL, no real byte transfer path)</t>
  </si>
  <si>
    <t xml:space="preserve">All four clauses fail: no real file is ever selected/transferred so the 40MB/memory-growth claim is untestable; server trusts client-supplied size/checksum; no magic-bytes check exists; INFECTED handling is partial (session fails, no Document created, but no explicit quarantine state or separate uploader-notification mechanism beyond the synchronous error).</t>
  </si>
  <si>
    <t xml:space="preserve">US-5.2</t>
  </si>
  <si>
    <t xml:space="preserve">documents.service.ts:191-226,228-236,39-50; documents/page.tsx:87 (filters by search/category only, not version)</t>
  </si>
  <si>
    <t xml:space="preserve">Versioning mechanics and old-version retrievability work and storage keys are never overwritten, but "case shows only the newest by default" is violated — every version of every document appears together with no default filtering to latest-only.</t>
  </si>
  <si>
    <t xml:space="preserve">US-5.3</t>
  </si>
  <si>
    <t xml:space="preserve">documents.service.ts:134-149 (see FR-5.5), :150-158 + documents.controller.ts:39-42 (no IP captured), :161-174 (consumeGrant correctly single-use + 5-min expiry)</t>
  </si>
  <si>
    <t xml:space="preserve">404-not-403 works when it triggers, but the access rule itself is buggy per FR-5.5, including a path where clients bypass classification checks entirely. Audit never records IP. Single-use + 5-minute expiry is correctly implemented.</t>
  </si>
  <si>
    <t xml:space="preserve">FR-6.1</t>
  </si>
  <si>
    <t xml:space="preserve">finance.service.ts:40-80 (createInvoice), :913-926 (computeTotals)</t>
  </si>
  <si>
    <t xml:space="preserve">Totals/tax computed server-side only from lines; client-submitted subtotal/total fields are never read.</t>
  </si>
  <si>
    <t xml:space="preserve">FR-6.2</t>
  </si>
  <si>
    <t xml:space="preserve">finance.service.ts:162-196 (number allocation), :182 (padStart(5,'0')), admin.controller.ts:257</t>
  </si>
  <si>
    <t xml:space="preserve">Number format is INV-YYYY-NNNNN (5 digits), not the spec's 6-digit NNNNNN; PDF is rendered on-demand via a signed token rather than generated/stored at issue time.</t>
  </si>
  <si>
    <t xml:space="preserve">FR-6.3</t>
  </si>
  <si>
    <t xml:space="preserve">finance.service.ts:82-95 (INVOICE_IMMUTABLE on non-DRAFT edit)</t>
  </si>
  <si>
    <t xml:space="preserve">Immutability enforced, but the credit-note correction path is entirely absent — no CreditNote model/endpoint exists, and InvoiceStatus.CREDITED is never referenced by any service code.</t>
  </si>
  <si>
    <t xml:space="preserve">FR-6.4</t>
  </si>
  <si>
    <t xml:space="preserve">finance.service.ts:463-518 (amount from DB balance), finance.controller.ts:88-95 (signature verified first), main.ts:29 (rawBody:true)</t>
  </si>
  <si>
    <t xml:space="preserve">Handoff amount is always DB-derived; client body only forwards an intentKey.</t>
  </si>
  <si>
    <t xml:space="preserve">FR-6.5</t>
  </si>
  <si>
    <t xml:space="preserve">finance.service.ts:318-385, recordedById at :361</t>
  </si>
  <si>
    <t xml:space="preserve">Method is a free-form string field (no enum), so bank transfer/cash/cheque supported but not constrained.</t>
  </si>
  <si>
    <t xml:space="preserve">FR-6.6</t>
  </si>
  <si>
    <t xml:space="preserve">finance.controller.ts:88-95 (webhook gated on verified signature), finance.service.ts:319,358</t>
  </si>
  <si>
    <t xml:space="preserve">Grepped all PaymentStatus.SUCCEEDED writes — no third path exists.</t>
  </si>
  <si>
    <t xml:space="preserve">finance.service.ts:840-860 (applyPaymentToInvoice, amountPaid.add(amount) from a stale pre-transaction read); invoice fetched outside the transaction at :320 and :574</t>
  </si>
  <si>
    <t xml:space="preserve">finance.service.ts:19 (hardcoded [7,14,30] schedule used at :809), admin.controller.ts:257-283 (per-org setting persisted but never read); no @Cron/scheduler anywhere</t>
  </si>
  <si>
    <t xml:space="preserve">FR-6.9</t>
  </si>
  <si>
    <t xml:space="preserve">finance.service.ts:627-724, finance.controller.ts:70-82</t>
  </si>
  <si>
    <t xml:space="preserve">Backend reconciliation + manual matching fully implemented; no reconciliation screen exists in apps/web.</t>
  </si>
  <si>
    <t xml:space="preserve">FR-6.10</t>
  </si>
  <si>
    <t xml:space="preserve">finance.service.ts:728-774 (correct 30/60/90 ageing buckets), finance.controller.ts:97-100</t>
  </si>
  <si>
    <t xml:space="preserve">Backend statement with correct ageing buckets exists; no statement-of-account UI found anywhere in apps/web.</t>
  </si>
  <si>
    <t xml:space="preserve">FR-6.11</t>
  </si>
  <si>
    <t xml:space="preserve">finance.service.ts:388-433</t>
  </si>
  <si>
    <t xml:space="preserve">Segregation of duties (recorder ≠ approver) is correct, but there is no amount parameter — only full refunds supported — and the original SUCCEEDED payment row is mutated in place to REFUNDED rather than leaving a distinct refund record.</t>
  </si>
  <si>
    <t xml:space="preserve">FR-6.12</t>
  </si>
  <si>
    <t xml:space="preserve">schema.prisma:536,583 (single currency field, no rate column)</t>
  </si>
  <si>
    <t xml:space="preserve">Multi-currency field exists but no conversion rate is ever recorded.</t>
  </si>
  <si>
    <t xml:space="preserve">FR-6.13</t>
  </si>
  <si>
    <t xml:space="preserve">grep for csv/export/ledger across apps/api/src (exports exist in admin/cases/crm/reports, none in finance)</t>
  </si>
  <si>
    <t xml:space="preserve">No accounting-ledger CSV export exists.</t>
  </si>
  <si>
    <t xml:space="preserve">US-6.1</t>
  </si>
  <si>
    <t xml:space="preserve">finance.service.ts:162-196 (atomic Postgres UPSERT on gapless_sequence, same transaction as invoice update)</t>
  </si>
  <si>
    <t xml:space="preserve">Concurrent-issuance distinctness and rollback-then-reuse both correctly implemented; year-rollover restarts at 1 but is printed with padStart(5,'0') → "00001" not the spec's 6-digit "000001".</t>
  </si>
  <si>
    <t xml:space="preserve">US-6.2</t>
  </si>
  <si>
    <t xml:space="preserve">finance.service.ts:463-518,543-600,549-555 (dedup via @@unique([provider, providerRef]))</t>
  </si>
  <si>
    <t xml:space="preserve">Server-side handoff/idempotency/DB-sourced amount, verified-signature-only settlement, and triple-delivery dedup are all correctly implemented; however no receipt document is generated anywhere (only a notification), no audited record exists for a rejected-signature attempt, and no /pay/[id] page exists in apps/web despite the handoffUrl pointing there.</t>
  </si>
  <si>
    <t xml:space="preserve">US-6.3</t>
  </si>
  <si>
    <t xml:space="preserve">finance.service.ts:152-160 (second-actor/small-org check), :198-206 (override audit), :398-403 (refund SoD)</t>
  </si>
  <si>
    <t xml:space="preserve">Core SoD checks (issue and refund) correctly enforced; the override audit event's action is the literal string 'finance.sod_override', not the spec's SOD_OVERRIDE type, and it is never surfaced in any monthly report.</t>
  </si>
  <si>
    <t xml:space="preserve">finance.controller.ts:120-124 (manual-only sweep, no scheduler found repo-wide), finance.service.ts:809-819,854-859</t>
  </si>
  <si>
    <t xml:space="preserve">PAYMENT-STATES</t>
  </si>
  <si>
    <t xml:space="preserve">finance.service.ts:137-225 (DRAFT→ISSUED correct), :840-865 (PARTIALLY_PAID/PAID/OVERDUE), :435-455 (voidInvoice), schema.prisma:93-101</t>
  </si>
  <si>
    <t xml:space="preserve">DRAFT→ISSUED and the OVERDUE-reversibility rule are correctly implemented; PARTIALLY_PAID/PAID uses increment-not-recompute with a stale pre-transaction read (see FR-6.7, a real lost-update race); Any→DISPUTED and Any→CREDITED are entirely unimplemented despite existing in the enum; DRAFT/ISSUED→VOID never captures or requires a reason at all, and permits voiding beyond the spec's stated DRAFT/ISSUED-with-nothing-paid scope. INITIATED→SUCCEEDED gating and the duplicate-providerRef unique constraint are both correctly implemented.</t>
  </si>
  <si>
    <t xml:space="preserve">FR-7.1</t>
  </si>
  <si>
    <t xml:space="preserve">schema.prisma:116-123 (NotifChannel has SMS,PUSH), notification.service.ts:127-160 (only EMAIL has a real branch; SMS/PUSH just markSent with a fake provider ref, no transport)</t>
  </si>
  <si>
    <t xml:space="preserve">SMS and push are never actually sent but are marked SENT with a fake reference, silently misreporting delivery. Persistence-per-row does work correctly.</t>
  </si>
  <si>
    <t xml:space="preserve">FR-7.2</t>
  </si>
  <si>
    <t xml:space="preserve">admin.controller.ts:433-443 (unknown-variable validation works), notification.service.ts:85-86 (render hardcodes .en only)</t>
  </si>
  <si>
    <t xml:space="preserve">Named-variable validation exists, but there is no preview-render step before saving (mandatory or otherwise), and per-locale bodies are stored but never used at send time — no template-editor screen exists in apps/web at all.</t>
  </si>
  <si>
    <t xml:space="preserve">FR-7.3</t>
  </si>
  <si>
    <t xml:space="preserve">schema.prisma:707-718 (NotificationPreference), notifications.controller.ts:134-165, notification.service.ts:17,63-71 (hardcoded DEFAULT_CHANNELS, no policy check)</t>
  </si>
  <si>
    <t xml:space="preserve">Per-user per-event-type per-channel prefs exist, but the "system-wide default" is an uneditable constant and there is zero enforcement stopping a user from widening beyond any policy.</t>
  </si>
  <si>
    <t xml:space="preserve">notification.service.ts:63-71,99-119 (channels taken verbatim from pref.channels[eventKey]; empty array → for-loop never runs)</t>
  </si>
  <si>
    <t xml:space="preserve">FR-7.5</t>
  </si>
  <si>
    <t xml:space="preserve">notification.service.ts:19-21,95-119,127-164,201-227; notifications.controller.ts:53-60 (manual retry only); apps/worker is an empty stub</t>
  </si>
  <si>
    <t xml:space="preserve">Failures don't propagate to the caller, but there is no real queue/async worker — delivery runs inline in the request, and retries never fire automatically since nothing schedules retryFailed().</t>
  </si>
  <si>
    <t xml:space="preserve">FR-7.6</t>
  </si>
  <si>
    <t xml:space="preserve">schema.prisma:125-133 (NotifStatus enum has all 5 states), notification.service.ts:166-195 (QUEUED→SENT/FAILED with providerRef), notifications.controller.ts:29-36 (READ)</t>
  </si>
  <si>
    <t xml:space="preserve">DELIVERED is declared but never set anywhere in the codebase — no provider webhook promotes SENT to DELIVERED.</t>
  </si>
  <si>
    <t xml:space="preserve">FR-7.7</t>
  </si>
  <si>
    <t xml:space="preserve">notifications.controller.ts:66-125 (SSE stream, 5s poll + 20s heartbeat), app-shell.tsx:154-232 (stream consumer, toasts, unread badge)</t>
  </si>
  <si>
    <t xml:space="preserve">Solid live feed + badge implementation.</t>
  </si>
  <si>
    <t xml:space="preserve">FR-7.8</t>
  </si>
  <si>
    <t xml:space="preserve">schema.prisma:608-609 + notifications.controller.ts:96-97 (resourceType/id stored+in SSE payload); widgets.tsx:445-452 (NotificationRow interface omits them); no navigation-on-click anywhere; apps/mobile is a stub</t>
  </si>
  <si>
    <t xml:space="preserve">Data exists end-to-end but nothing in the shipped UI ever uses it to open a screen — tapping a notification never deep-links.</t>
  </si>
  <si>
    <t xml:space="preserve">FR-7.9</t>
  </si>
  <si>
    <t xml:space="preserve">notification.service.ts:23-27 (minutesNow ignores the timezone param, uses UTC unconditionally — comment admits this), :72-82,230-244 (flushHeld sends each held row individually, not as one message)</t>
  </si>
  <si>
    <t xml:space="preserve">Quiet hours ignore the user's actual timezone, nothing releases held items automatically, and "digest" delivery is really N separate sends stamped after the fact, not a batched summary.</t>
  </si>
  <si>
    <t xml:space="preserve">FR-7.10</t>
  </si>
  <si>
    <t xml:space="preserve">no cron/scheduler anywhere; grep for "digest" finds only quiet-hours payload flags</t>
  </si>
  <si>
    <t xml:space="preserve">No daily or weekly activity-summary feature exists at all.</t>
  </si>
  <si>
    <t xml:space="preserve">FR-7.11</t>
  </si>
  <si>
    <t xml:space="preserve">schema.prisma:384-399 (Comment model with isInternal), cases.controller.ts:118-129, cases.service.ts:599-611,613-628</t>
  </si>
  <si>
    <t xml:space="preserve">Genuine two-way messaging with correct visibility; the only gap is that posting a comment never triggers a notification to the other party.</t>
  </si>
  <si>
    <t xml:space="preserve">US-7.1</t>
  </si>
  <si>
    <t xml:space="preserve">cases.service.ts:472-479 (assignment notify queued &lt;5s), notification.service.ts:155-160 (SMS/push faked), notifications.controller.ts:53-60,16-25 (manual retry, no admin failure view); apps/mobile is a stub</t>
  </si>
  <si>
    <t xml:space="preserve">"Queued &lt;5s + delivered on enabled channels" only truly holds for in-app/email. SMS-disabled clause passes but is moot since SMS is never real. Retry-with-backoff clause fails — retries never run automatically and there's no admin-visible failure list. Push-tap-opens-case clause fails — no mobile app/push exists at all.</t>
  </si>
  <si>
    <t xml:space="preserve">US-7.2</t>
  </si>
  <si>
    <t xml:space="preserve">admin.controller.ts:433-443 (unknown-variable refusal genuinely works); no preview endpoint anywhere; notification.service.ts:85-86 (always .en, no fallback logic)</t>
  </si>
  <si>
    <t xml:space="preserve">Only the "unknown variable refused" clause is implemented. The mandatory-preview-before-save workflow and missing-locale-fallback/gap-listing UI do not exist — there is no template-editing screen in the product at all.</t>
  </si>
  <si>
    <t xml:space="preserve">US-7.3</t>
  </si>
  <si>
    <t xml:space="preserve">notification.service.ts:23-27,72-82,230-244; workflow.service.ts:489-490 and identity.service.ts multiple lines (urgent:true bypass works correctly)</t>
  </si>
  <si>
    <t xml:space="preserve">The urgent-bypass clause is genuinely correct. But "held at 23:00, delivered at 07:00 in my timezone" is broken — quiet hours are evaluated in UTC regardless of the user's timezone and nothing auto-releases at the window's end — and "arrive as one digest" is unmet, since flushHeld sends each held item separately.</t>
  </si>
  <si>
    <t xml:space="preserve">FR-8.1</t>
  </si>
  <si>
    <t xml:space="preserve">widgets.tsx:407-441 (StatCard KPI tiles), manager/dashboard.tsx &amp; admin/dashboard.tsx (action queues); no chart library in apps/web/package.json</t>
  </si>
  <si>
    <t xml:space="preserve">KPI tiles and an action queue exist on several role dashboards, but there is no trend chart and no distribution chart anywhere in the codebase.</t>
  </si>
  <si>
    <t xml:space="preserve">FR-8.2</t>
  </si>
  <si>
    <t xml:space="preserve">reports.controller.ts:24-56,74-83 (open cases, breached count), :76 ("at SLA risk" is a text note, not a metric); cases.service.ts:625-626 (firstResponseAt set but never aggregated)</t>
  </si>
  <si>
    <t xml:space="preserve">Open cases and breached-case counts are real queries; average handling time, first-response time, and pending-approvals count are absent from the dashboard payload entirely.</t>
  </si>
  <si>
    <t xml:space="preserve">FR-8.3</t>
  </si>
  <si>
    <t xml:space="preserve">reports.controller.ts:60-82 (only "outstanding" per currency computed); finance.service.ts:728,771 (ageing buckets exist but only for M6's per-client statement, not exposed via reports)</t>
  </si>
  <si>
    <t xml:space="preserve">Issued, collected, and overdue are not exposed as distinct KPIs, and ageing buckets aren't surfaced anywhere in the M8 reporting endpoints.</t>
  </si>
  <si>
    <t xml:space="preserve">FR-8.4</t>
  </si>
  <si>
    <t xml:space="preserve">no filter UI or useSearchParams/URLSearchParams found in reports/page.tsx or any dashboard component</t>
  </si>
  <si>
    <t xml:space="preserve">No filter controls and no URL-encoded filter state exist anywhere in the reporting UI.</t>
  </si>
  <si>
    <t xml:space="preserve">FR-8.5</t>
  </si>
  <si>
    <t xml:space="preserve">reports.controller.ts:241-279 (CSV built synchronously, Job created already DONE, no PDF/XLSX generation or libs); reports/page.tsx (checks a "resultUrl" field the API response never has)</t>
  </si>
  <si>
    <t xml:space="preserve">Only CSV is produced, it's not a separately stored/access-controlled file (just JSON on the Job row), and the frontend's download-link condition can never be true — the file is never actually retrievable through the UI.</t>
  </si>
  <si>
    <t xml:space="preserve">reports.controller.ts:18-19 (dashboard() has no requirePermission call, unlike the other 3 endpoints); prisma/seed.ts:29-31 (Visitor role has neither report.read nor finance.read)</t>
  </si>
  <si>
    <t xml:space="preserve">FR-8.7</t>
  </si>
  <si>
    <t xml:space="preserve">no SavedView model or "saved view" matches anywhere</t>
  </si>
  <si>
    <t xml:space="preserve">No saved-view feature (private or shared) exists.</t>
  </si>
  <si>
    <t xml:space="preserve">FR-8.8</t>
  </si>
  <si>
    <t xml:space="preserve">no ScheduledReport model or cron-based scheduling anywhere</t>
  </si>
  <si>
    <t xml:space="preserve">No scheduled/emailed reports feature exists.</t>
  </si>
  <si>
    <t xml:space="preserve">FR-8.9</t>
  </si>
  <si>
    <t xml:space="preserve">reports.controller.ts:17 comment itself says aggregates are computed live from transactional tables</t>
  </si>
  <si>
    <t xml:space="preserve">No pre-aggregation/snapshot mechanism exists; every dashboard query hits live tables.</t>
  </si>
  <si>
    <t xml:space="preserve">FR-8.10</t>
  </si>
  <si>
    <t xml:space="preserve">reports.controller.ts:90-209 (fixed catalogue of 5 hardcoded report definitions)</t>
  </si>
  <si>
    <t xml:space="preserve">Correctly absent, as the spec expects for R1. No penalty.</t>
  </si>
  <si>
    <t xml:space="preserve">US-8.1</t>
  </si>
  <si>
    <t xml:space="preserve">reports.controller.ts:24-72 (multiple live groupBy/aggregate calls, no cache); widgets.tsx:399-441</t>
  </si>
  <si>
    <t xml:space="preserve">p95&lt;2s at 100k/250k scale is unverifiable and architecturally unlikely given no caching or pre-aggregation. The 60s-cache-with-meta-marker clause is missing entirely (no Redis/cache-manager, no meta field). The explicit-error-state clause fails — a failed KPI falls back to the same "…" placeholder used while loading, making failure indistinguishable from loading.</t>
  </si>
  <si>
    <t xml:space="preserve">US-8.2</t>
  </si>
  <si>
    <t xml:space="preserve">reports.controller.ts:267-278 (jobId returned immediately); no Notification created anywhere for report completion; reports/page.tsx (Export gated on report.read, not report.export)</t>
  </si>
  <si>
    <t xml:space="preserve">Job id returned immediately — met. "Notification when file is ready" — missing entirely. "File contains exactly the filtered rows, filter printed in header" — partial, export only takes a month param (no access to the FR-8.4 filters, which don't exist). "Lacking report.export ⇒ control absent" — the API correctly 403s, but the frontend Export control is gated on the wrong permission and stays visible/clickable for report.read-only users.</t>
  </si>
  <si>
    <t xml:space="preserve">US-8.3</t>
  </si>
  <si>
    <t xml:space="preserve">reports.controller.ts (every query filters directly on ctx.organizationId in the Prisma where clause, never post-filtered); auth.guard.ts:82-93 (forged org header → 403 ORG_FORBIDDEN + audited); app.module.ts (AuthGuard registered globally)</t>
  </si>
  <si>
    <t xml:space="preserve">Both acceptance clauses hold — tenancy is enforced in-query everywhere in the reports module, and organisation tampering is caught, 403'd, and audited at the global auth layer.</t>
  </si>
  <si>
    <t xml:space="preserve">FR-9.1</t>
  </si>
  <si>
    <t xml:space="preserve">admin.controller.ts:292-336 (4 of 5 reference sets), case-types.controller.ts:21-46 (case types, create-only, separate endpoint); admin/page.tsx:37 (REFERENCE_SETS excludes case-types)</t>
  </si>
  <si>
    <t xml:space="preserve">All five reference sets exist and are DB-backed, but case types have create-only support (no edit or admin-list-all endpoint), and the web UI only exposes 4 of the 5 sets.</t>
  </si>
  <si>
    <t xml:space="preserve">FR-9.2</t>
  </si>
  <si>
    <t xml:space="preserve">admin.controller.ts:247-288 (branding/locale/currency/invoiceNumbering/dunning in settings); finance.service.ts:166-182 (hardcoded INV-${year}-${seq} never reads the setting)</t>
  </si>
  <si>
    <t xml:space="preserve">invoiceNumbering is stored but has no effect on actual number generation; "SLA calendar" is satisfied only indirectly via the business-calendars reference set; the web settings UI exposes only currency, locale and dunning — no branding field at all.</t>
  </si>
  <si>
    <t xml:space="preserve">FR-9.3</t>
  </si>
  <si>
    <t xml:space="preserve">audit.service.ts:26-54 (generic record()); calls across identity/tenancy/cases/documents/finance services</t>
  </si>
  <si>
    <t xml:space="preserve">Every required category gets an audit event, but ip/userAgent are only ever populated from identity.service.ts calls — every other module's audit.record() call omits IP entirely, so most audit rows have a null IP. Also, the actual file download is never audited — only the earlier download-URL request is.</t>
  </si>
  <si>
    <t xml:space="preserve">FR-9.4</t>
  </si>
  <si>
    <t xml:space="preserve">admin.controller.ts:39-61 (searchAudit: from/to/actor/action/resourceType), :104-141 (exportAudit)</t>
  </si>
  <si>
    <t xml:space="preserve">Search is missing an outcome filter entirely (spec requires it) and has no resourceId filter (only resourceType); export returns a raw CSV string with no signature/checksum anywhere — "signed export" is not implemented.</t>
  </si>
  <si>
    <t xml:space="preserve">FR-9.5</t>
  </si>
  <si>
    <t xml:space="preserve">migrations/20260824122049_.../migration.sql:11-23 (BEFORE UPDATE OR DELETE trigger raising an exception); no REVOKE/GRANT/CREATE ROLE statements found in any migration</t>
  </si>
  <si>
    <t xml:space="preserve">Append-only is enforced via a DB trigger, not via the literal spec mechanism (restricted DB role with no UPDATE/DELETE grant) — a role that owns the table or has ALTER/DROP TRIGGER rights could still disable it.</t>
  </si>
  <si>
    <t xml:space="preserve">FR-9.6</t>
  </si>
  <si>
    <t xml:space="preserve">admin.controller.ts:223-243 (testIntegration)</t>
  </si>
  <si>
    <t xml:space="preserve">The test endpoint is fully mocked — it never calls any real provider and unconditionally returns {ok:true, mode:'mock'}; no raw provider response is ever surfaced, and no failure path exists.</t>
  </si>
  <si>
    <t xml:space="preserve">FR-9.7</t>
  </si>
  <si>
    <t xml:space="preserve">no Webhook/WebhookSubscription/WebhookDelivery model anywhere; all HMAC usages found are for verifying inbound provider webhooks, not signing outbound ones</t>
  </si>
  <si>
    <t xml:space="preserve">No outbound webhook subscription mechanism, HMAC signing, retry policy, or delivery log exists.</t>
  </si>
  <si>
    <t xml:space="preserve">FR-9.8</t>
  </si>
  <si>
    <t xml:space="preserve">admin.controller.ts:340-401 (getFlags/putFlags, stored per-org in settings.featureFlags); admin/page.tsx:222-244</t>
  </si>
  <si>
    <t xml:space="preserve">Flags are read/written per-organization from the DB with no restart required, and the web UI exposes toggles for the three known flags.</t>
  </si>
  <si>
    <t xml:space="preserve">FR-9.9</t>
  </si>
  <si>
    <t xml:space="preserve">auth.guard.ts:24-31,78-98 (503 MAINTENANCE_MODE, Public routes bypass), admin.controller.ts:459-474 (health/health-ready are @Public())</t>
  </si>
  <si>
    <t xml:space="preserve">503 with message works and health endpoints stay live via the Public-decorator short-circuit; however "a stated window" is only a free-text message field with no structured start/end time — an admin could enable maintenance without stating any window.</t>
  </si>
  <si>
    <t xml:space="preserve">FR-9.10</t>
  </si>
  <si>
    <t xml:space="preserve">grep for marketing/cms/PublicContent/PageContent — no content model or endpoints; features/page.tsx is a static page</t>
  </si>
  <si>
    <t xml:space="preserve">No admin-editable content system for marketing pages exists.</t>
  </si>
  <si>
    <t xml:space="preserve">US-9.1</t>
  </si>
  <si>
    <t xml:space="preserve">admin.controller.ts:39-61,68-102,104-141</t>
  </si>
  <si>
    <t xml:space="preserve">Timestamp/actor/before-after are present, but IP is null for nearly all non-auth actions (see FR-9.3). The DB does refuse update/delete statements (verified via the migration trigger) and there's a live runtime check endpoint, but no automated test exists anywhere in the codebase for this (only default NestJS boilerplate specs exist). Export is audited, but the CSV carries no checksum field.</t>
  </si>
  <si>
    <t xml:space="preserve">case-types.controller.ts:20-46</t>
  </si>
  <si>
    <t xml:space="preserve">admin.controller.ts:196-243,201-218; dashboard.tsx (super) is read-only, no config form or test button anywhere in the frontend</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</si>
</sst>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091540"/>
      <name val="Arial"/>
      <family val="0"/>
      <charset val="1"/>
    </font>
    <font>
      <sz val="10"/>
      <color rgb="FF475569"/>
      <name val="Arial"/>
      <family val="0"/>
      <charset val="1"/>
    </font>
    <font>
      <i val="true"/>
      <sz val="10"/>
      <color rgb="FF9C1F1F"/>
      <name val="Arial"/>
      <family val="0"/>
      <charset val="1"/>
    </font>
    <font>
      <b val="true"/>
      <sz val="11"/>
      <color rgb="FFFFFFFF"/>
      <name val="Arial"/>
      <family val="0"/>
      <charset val="1"/>
    </font>
    <font>
      <b val="true"/>
      <sz val="10"/>
      <name val="Arial"/>
      <family val="0"/>
      <charset val="1"/>
    </font>
    <font>
      <sz val="10"/>
      <name val="Arial"/>
      <family val="0"/>
      <charset val="1"/>
    </font>
    <font>
      <b val="true"/>
      <sz val="12"/>
      <color rgb="FF9C1F1F"/>
      <name val="Arial"/>
      <family val="0"/>
      <charset val="1"/>
    </font>
    <font>
      <b val="true"/>
      <sz val="10"/>
      <color rgb="FF9C1F1F"/>
      <name val="Arial"/>
      <family val="0"/>
      <charset val="1"/>
    </font>
    <font>
      <i val="true"/>
      <sz val="9"/>
      <color rgb="FF64748B"/>
      <name val="Arial"/>
      <family val="0"/>
      <charset val="1"/>
    </font>
    <font>
      <b val="true"/>
      <sz val="10"/>
      <color rgb="FF1E6B2E"/>
      <name val="Arial"/>
      <family val="0"/>
      <charset val="1"/>
    </font>
    <font>
      <b val="true"/>
      <sz val="10"/>
      <color rgb="FF8A6D1E"/>
      <name val="Arial"/>
      <family val="0"/>
      <charset val="1"/>
    </font>
    <font>
      <b val="true"/>
      <sz val="10"/>
      <color rgb="FF475569"/>
      <name val="Arial"/>
      <family val="0"/>
      <charset val="1"/>
    </font>
    <font>
      <b val="true"/>
      <sz val="10"/>
      <color rgb="FF9C4A0E"/>
      <name val="Arial"/>
      <family val="0"/>
      <charset val="1"/>
    </font>
  </fonts>
  <fills count="8">
    <fill>
      <patternFill patternType="none"/>
    </fill>
    <fill>
      <patternFill patternType="gray125"/>
    </fill>
    <fill>
      <patternFill patternType="solid">
        <fgColor rgb="FF1B2CC1"/>
        <bgColor rgb="FF0000FF"/>
      </patternFill>
    </fill>
    <fill>
      <patternFill patternType="solid">
        <fgColor rgb="FFE2E8F0"/>
        <bgColor rgb="FFD9DEE7"/>
      </patternFill>
    </fill>
    <fill>
      <patternFill patternType="solid">
        <fgColor rgb="FFC6EFCE"/>
        <bgColor rgb="FFD9DEE7"/>
      </patternFill>
    </fill>
    <fill>
      <patternFill patternType="solid">
        <fgColor rgb="FFF8CBCB"/>
        <bgColor rgb="FFFDE2CF"/>
      </patternFill>
    </fill>
    <fill>
      <patternFill patternType="solid">
        <fgColor rgb="FFFFF2CC"/>
        <bgColor rgb="FFFDE2CF"/>
      </patternFill>
    </fill>
    <fill>
      <patternFill patternType="solid">
        <fgColor rgb="FFFDE2CF"/>
        <bgColor rgb="FFFFF2CC"/>
      </patternFill>
    </fill>
  </fills>
  <borders count="2">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13" fillId="4"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4" fillId="6" borderId="1" xfId="0" applyFont="true" applyBorder="true" applyAlignment="true" applyProtection="false">
      <alignment horizontal="center" vertical="top" textRotation="0" wrapText="false" indent="0" shrinkToFit="false"/>
      <protection locked="true" hidden="false"/>
    </xf>
    <xf numFmtId="164" fontId="15" fillId="3" borderId="1" xfId="0" applyFont="true" applyBorder="true" applyAlignment="true" applyProtection="false">
      <alignment horizontal="center" vertical="top" textRotation="0" wrapText="false" indent="0" shrinkToFit="false"/>
      <protection locked="true" hidden="false"/>
    </xf>
    <xf numFmtId="164" fontId="16" fillId="7"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CC1"/>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2E8F0"/>
          <bgColor rgb="FF000000"/>
        </patternFill>
      </fill>
    </dxf>
    <dxf>
      <fill>
        <patternFill patternType="solid">
          <fgColor rgb="FFF8CBCB"/>
          <bgColor rgb="FF000000"/>
        </patternFill>
      </fill>
    </dxf>
    <dxf>
      <fill>
        <patternFill patternType="solid">
          <fgColor rgb="FFFDE2CF"/>
          <bgColor rgb="FF000000"/>
        </patternFill>
      </fill>
    </dxf>
    <dxf>
      <fill>
        <patternFill patternType="solid">
          <fgColor rgb="FFFFF2CC"/>
          <bgColor rgb="FF000000"/>
        </patternFill>
      </fill>
    </dxf>
    <dxf>
      <fill>
        <patternFill patternType="solid">
          <fgColor rgb="FF1E6B2E"/>
          <bgColor rgb="FF000000"/>
        </patternFill>
      </fill>
    </dxf>
    <dxf>
      <fill>
        <patternFill patternType="solid">
          <fgColor rgb="FF475569"/>
          <bgColor rgb="FF000000"/>
        </patternFill>
      </fill>
    </dxf>
    <dxf>
      <fill>
        <patternFill patternType="solid">
          <fgColor rgb="FF8A6D1E"/>
          <bgColor rgb="FF000000"/>
        </patternFill>
      </fill>
    </dxf>
    <dxf>
      <fill>
        <patternFill patternType="solid">
          <fgColor rgb="FF9C1F1F"/>
          <bgColor rgb="FF000000"/>
        </patternFill>
      </fill>
    </dxf>
    <dxf>
      <fill>
        <patternFill patternType="solid">
          <fgColor rgb="FF9C4A0E"/>
          <bgColor rgb="FF000000"/>
        </patternFill>
      </fill>
    </dxf>
  </dxfs>
  <colors>
    <indexedColors>
      <rgbColor rgb="FF000000"/>
      <rgbColor rgb="FFFFFFFF"/>
      <rgbColor rgb="FFFF0000"/>
      <rgbColor rgb="FF00FF00"/>
      <rgbColor rgb="FF0000FF"/>
      <rgbColor rgb="FFFFFF00"/>
      <rgbColor rgb="FFFF00FF"/>
      <rgbColor rgb="FF00FFFF"/>
      <rgbColor rgb="FF800000"/>
      <rgbColor rgb="FF1E6B2E"/>
      <rgbColor rgb="FF000080"/>
      <rgbColor rgb="FF8A6D1E"/>
      <rgbColor rgb="FF800080"/>
      <rgbColor rgb="FF008080"/>
      <rgbColor rgb="FFC0C0C0"/>
      <rgbColor rgb="FF808080"/>
      <rgbColor rgb="FF9999FF"/>
      <rgbColor rgb="FF9C1F1F"/>
      <rgbColor rgb="FFFFF2CC"/>
      <rgbColor rgb="FFE2E8F0"/>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CCFFFF"/>
      <rgbColor rgb="FFC6EFCE"/>
      <rgbColor rgb="FFFDE2CF"/>
      <rgbColor rgb="FF99CCFF"/>
      <rgbColor rgb="FFFF99CC"/>
      <rgbColor rgb="FFCC99FF"/>
      <rgbColor rgb="FFF8CBCB"/>
      <rgbColor rgb="FF3366FF"/>
      <rgbColor rgb="FF33CCCC"/>
      <rgbColor rgb="FF99CC00"/>
      <rgbColor rgb="FFFFCC00"/>
      <rgbColor rgb="FFFF9900"/>
      <rgbColor rgb="FFFF6600"/>
      <rgbColor rgb="FF64748B"/>
      <rgbColor rgb="FF969696"/>
      <rgbColor rgb="FF091540"/>
      <rgbColor rgb="FF339966"/>
      <rgbColor rgb="FF003300"/>
      <rgbColor rgb="FF333300"/>
      <rgbColor rgb="FF9C4A0E"/>
      <rgbColor rgb="FF993366"/>
      <rgbColor rgb="FF1B2CC1"/>
      <rgbColor rgb="FF47556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3"/>
    <col collapsed="false" customWidth="true" hidden="false" outlineLevel="0" max="5" min="4" style="0" width="10"/>
    <col collapsed="false" customWidth="true" hidden="false" outlineLevel="0" max="6" min="6" style="0" width="18"/>
    <col collapsed="false" customWidth="true" hidden="false" outlineLevel="0" max="7" min="7" style="0" width="8"/>
    <col collapsed="false" customWidth="true" hidden="false" outlineLevel="0" max="8" min="8" style="0" width="9"/>
  </cols>
  <sheetData>
    <row r="2" customFormat="false" ht="19.7" hidden="false" customHeight="false" outlineLevel="0" collapsed="false">
      <c r="B2" s="1" t="s">
        <v>0</v>
      </c>
    </row>
    <row r="3" customFormat="false" ht="15" hidden="false" customHeight="false" outlineLevel="0" collapsed="false">
      <c r="B3" s="2" t="s">
        <v>1</v>
      </c>
      <c r="C3" s="2"/>
      <c r="D3" s="2"/>
      <c r="E3" s="2"/>
      <c r="F3" s="2"/>
      <c r="G3" s="2"/>
      <c r="H3" s="2"/>
    </row>
    <row r="4" customFormat="false" ht="15" hidden="false" customHeight="false" outlineLevel="0" collapsed="false">
      <c r="B4" s="3" t="s">
        <v>2</v>
      </c>
      <c r="C4" s="3"/>
      <c r="D4" s="3"/>
      <c r="E4" s="3"/>
      <c r="F4" s="3"/>
      <c r="G4" s="3"/>
      <c r="H4" s="3"/>
    </row>
    <row r="7" customFormat="false" ht="30" hidden="false" customHeight="true" outlineLevel="0" collapsed="false">
      <c r="B7" s="4" t="s">
        <v>3</v>
      </c>
      <c r="C7" s="4" t="s">
        <v>4</v>
      </c>
      <c r="D7" s="4" t="s">
        <v>5</v>
      </c>
      <c r="E7" s="4" t="s">
        <v>6</v>
      </c>
      <c r="F7" s="4" t="s">
        <v>7</v>
      </c>
      <c r="G7" s="4" t="s">
        <v>8</v>
      </c>
      <c r="H7" s="4" t="s">
        <v>9</v>
      </c>
    </row>
    <row r="8" customFormat="false" ht="15" hidden="false" customHeight="false" outlineLevel="0" collapsed="false">
      <c r="B8" s="5" t="s">
        <v>10</v>
      </c>
      <c r="C8" s="6" t="n">
        <f aca="false">COUNTIFS('Traceability Matrix'!$A:$A,$B8,'Traceability Matrix'!$E:$E,C7)</f>
        <v>7</v>
      </c>
      <c r="D8" s="6" t="n">
        <f aca="false">COUNTIFS('Traceability Matrix'!$A:$A,$B8,'Traceability Matrix'!$E:$E,D7)</f>
        <v>5</v>
      </c>
      <c r="E8" s="6" t="n">
        <f aca="false">COUNTIFS('Traceability Matrix'!$A:$A,$B8,'Traceability Matrix'!$E:$E,E7)</f>
        <v>0</v>
      </c>
      <c r="F8" s="6" t="n">
        <f aca="false">COUNTIFS('Traceability Matrix'!$A:$A,$B8,'Traceability Matrix'!$E:$E,F7)</f>
        <v>1</v>
      </c>
      <c r="G8" s="6" t="n">
        <f aca="false">COUNTIFS('Traceability Matrix'!$A:$A,$B8,'Traceability Matrix'!$E:$E,G7)</f>
        <v>5</v>
      </c>
      <c r="H8" s="6" t="n">
        <f aca="false">SUM(C8:G8)</f>
        <v>18</v>
      </c>
    </row>
    <row r="9" customFormat="false" ht="15" hidden="false" customHeight="false" outlineLevel="0" collapsed="false">
      <c r="B9" s="5" t="s">
        <v>11</v>
      </c>
      <c r="C9" s="6" t="n">
        <f aca="false">COUNTIFS('Traceability Matrix'!$A:$A,$B9,'Traceability Matrix'!$E:$E,C7)</f>
        <v>2</v>
      </c>
      <c r="D9" s="6" t="n">
        <f aca="false">COUNTIFS('Traceability Matrix'!$A:$A,$B9,'Traceability Matrix'!$E:$E,D7)</f>
        <v>9</v>
      </c>
      <c r="E9" s="6" t="n">
        <f aca="false">COUNTIFS('Traceability Matrix'!$A:$A,$B9,'Traceability Matrix'!$E:$E,E7)</f>
        <v>1</v>
      </c>
      <c r="F9" s="6" t="n">
        <f aca="false">COUNTIFS('Traceability Matrix'!$A:$A,$B9,'Traceability Matrix'!$E:$E,F7)</f>
        <v>0</v>
      </c>
      <c r="G9" s="6" t="n">
        <f aca="false">COUNTIFS('Traceability Matrix'!$A:$A,$B9,'Traceability Matrix'!$E:$E,G7)</f>
        <v>2</v>
      </c>
      <c r="H9" s="6" t="n">
        <f aca="false">SUM(C9:G9)</f>
        <v>14</v>
      </c>
    </row>
    <row r="10" customFormat="false" ht="15" hidden="false" customHeight="false" outlineLevel="0" collapsed="false">
      <c r="B10" s="5" t="s">
        <v>12</v>
      </c>
      <c r="C10" s="6" t="n">
        <f aca="false">COUNTIFS('Traceability Matrix'!$A:$A,$B10,'Traceability Matrix'!$E:$E,C7)</f>
        <v>5</v>
      </c>
      <c r="D10" s="6" t="n">
        <f aca="false">COUNTIFS('Traceability Matrix'!$A:$A,$B10,'Traceability Matrix'!$E:$E,D7)</f>
        <v>6</v>
      </c>
      <c r="E10" s="6" t="n">
        <f aca="false">COUNTIFS('Traceability Matrix'!$A:$A,$B10,'Traceability Matrix'!$E:$E,E7)</f>
        <v>2</v>
      </c>
      <c r="F10" s="6" t="n">
        <f aca="false">COUNTIFS('Traceability Matrix'!$A:$A,$B10,'Traceability Matrix'!$E:$E,F7)</f>
        <v>0</v>
      </c>
      <c r="G10" s="6" t="n">
        <f aca="false">COUNTIFS('Traceability Matrix'!$A:$A,$B10,'Traceability Matrix'!$E:$E,G7)</f>
        <v>4</v>
      </c>
      <c r="H10" s="6" t="n">
        <f aca="false">SUM(C10:G10)</f>
        <v>17</v>
      </c>
    </row>
    <row r="11" customFormat="false" ht="15" hidden="false" customHeight="false" outlineLevel="0" collapsed="false">
      <c r="B11" s="5" t="s">
        <v>13</v>
      </c>
      <c r="C11" s="6" t="n">
        <f aca="false">COUNTIFS('Traceability Matrix'!$A:$A,$B11,'Traceability Matrix'!$E:$E,C7)</f>
        <v>4</v>
      </c>
      <c r="D11" s="6" t="n">
        <f aca="false">COUNTIFS('Traceability Matrix'!$A:$A,$B11,'Traceability Matrix'!$E:$E,D7)</f>
        <v>4</v>
      </c>
      <c r="E11" s="6" t="n">
        <f aca="false">COUNTIFS('Traceability Matrix'!$A:$A,$B11,'Traceability Matrix'!$E:$E,E7)</f>
        <v>1</v>
      </c>
      <c r="F11" s="6" t="n">
        <f aca="false">COUNTIFS('Traceability Matrix'!$A:$A,$B11,'Traceability Matrix'!$E:$E,F7)</f>
        <v>0</v>
      </c>
      <c r="G11" s="6" t="n">
        <f aca="false">COUNTIFS('Traceability Matrix'!$A:$A,$B11,'Traceability Matrix'!$E:$E,G7)</f>
        <v>5</v>
      </c>
      <c r="H11" s="6" t="n">
        <f aca="false">SUM(C11:G11)</f>
        <v>14</v>
      </c>
    </row>
    <row r="12" customFormat="false" ht="15" hidden="false" customHeight="false" outlineLevel="0" collapsed="false">
      <c r="B12" s="5" t="s">
        <v>14</v>
      </c>
      <c r="C12" s="6" t="n">
        <f aca="false">COUNTIFS('Traceability Matrix'!$A:$A,$B12,'Traceability Matrix'!$E:$E,C7)</f>
        <v>1</v>
      </c>
      <c r="D12" s="6" t="n">
        <f aca="false">COUNTIFS('Traceability Matrix'!$A:$A,$B12,'Traceability Matrix'!$E:$E,D7)</f>
        <v>3</v>
      </c>
      <c r="E12" s="6" t="n">
        <f aca="false">COUNTIFS('Traceability Matrix'!$A:$A,$B12,'Traceability Matrix'!$E:$E,E7)</f>
        <v>3</v>
      </c>
      <c r="F12" s="6" t="n">
        <f aca="false">COUNTIFS('Traceability Matrix'!$A:$A,$B12,'Traceability Matrix'!$E:$E,F7)</f>
        <v>1</v>
      </c>
      <c r="G12" s="6" t="n">
        <f aca="false">COUNTIFS('Traceability Matrix'!$A:$A,$B12,'Traceability Matrix'!$E:$E,G7)</f>
        <v>6</v>
      </c>
      <c r="H12" s="6" t="n">
        <f aca="false">SUM(C12:G12)</f>
        <v>14</v>
      </c>
    </row>
    <row r="13" customFormat="false" ht="15" hidden="false" customHeight="false" outlineLevel="0" collapsed="false">
      <c r="B13" s="5" t="s">
        <v>15</v>
      </c>
      <c r="C13" s="6" t="n">
        <f aca="false">COUNTIFS('Traceability Matrix'!$A:$A,$B13,'Traceability Matrix'!$E:$E,C7)</f>
        <v>4</v>
      </c>
      <c r="D13" s="6" t="n">
        <f aca="false">COUNTIFS('Traceability Matrix'!$A:$A,$B13,'Traceability Matrix'!$E:$E,D7)</f>
        <v>8</v>
      </c>
      <c r="E13" s="6" t="n">
        <f aca="false">COUNTIFS('Traceability Matrix'!$A:$A,$B13,'Traceability Matrix'!$E:$E,E7)</f>
        <v>2</v>
      </c>
      <c r="F13" s="6" t="n">
        <f aca="false">COUNTIFS('Traceability Matrix'!$A:$A,$B13,'Traceability Matrix'!$E:$E,F7)</f>
        <v>0</v>
      </c>
      <c r="G13" s="6" t="n">
        <f aca="false">COUNTIFS('Traceability Matrix'!$A:$A,$B13,'Traceability Matrix'!$E:$E,G7)</f>
        <v>4</v>
      </c>
      <c r="H13" s="6" t="n">
        <f aca="false">SUM(C13:G13)</f>
        <v>18</v>
      </c>
    </row>
    <row r="14" customFormat="false" ht="15" hidden="false" customHeight="false" outlineLevel="0" collapsed="false">
      <c r="B14" s="5" t="s">
        <v>16</v>
      </c>
      <c r="C14" s="6" t="n">
        <f aca="false">COUNTIFS('Traceability Matrix'!$A:$A,$B14,'Traceability Matrix'!$E:$E,C7)</f>
        <v>2</v>
      </c>
      <c r="D14" s="6" t="n">
        <f aca="false">COUNTIFS('Traceability Matrix'!$A:$A,$B14,'Traceability Matrix'!$E:$E,D7)</f>
        <v>3</v>
      </c>
      <c r="E14" s="6" t="n">
        <f aca="false">COUNTIFS('Traceability Matrix'!$A:$A,$B14,'Traceability Matrix'!$E:$E,E7)</f>
        <v>2</v>
      </c>
      <c r="F14" s="6" t="n">
        <f aca="false">COUNTIFS('Traceability Matrix'!$A:$A,$B14,'Traceability Matrix'!$E:$E,F7)</f>
        <v>0</v>
      </c>
      <c r="G14" s="6" t="n">
        <f aca="false">COUNTIFS('Traceability Matrix'!$A:$A,$B14,'Traceability Matrix'!$E:$E,G7)</f>
        <v>7</v>
      </c>
      <c r="H14" s="6" t="n">
        <f aca="false">SUM(C14:G14)</f>
        <v>14</v>
      </c>
    </row>
    <row r="15" customFormat="false" ht="15" hidden="false" customHeight="false" outlineLevel="0" collapsed="false">
      <c r="B15" s="5" t="s">
        <v>17</v>
      </c>
      <c r="C15" s="6" t="n">
        <f aca="false">COUNTIFS('Traceability Matrix'!$A:$A,$B15,'Traceability Matrix'!$E:$E,C7)</f>
        <v>1</v>
      </c>
      <c r="D15" s="6" t="n">
        <f aca="false">COUNTIFS('Traceability Matrix'!$A:$A,$B15,'Traceability Matrix'!$E:$E,D7)</f>
        <v>5</v>
      </c>
      <c r="E15" s="6" t="n">
        <f aca="false">COUNTIFS('Traceability Matrix'!$A:$A,$B15,'Traceability Matrix'!$E:$E,E7)</f>
        <v>4</v>
      </c>
      <c r="F15" s="6" t="n">
        <f aca="false">COUNTIFS('Traceability Matrix'!$A:$A,$B15,'Traceability Matrix'!$E:$E,F7)</f>
        <v>1</v>
      </c>
      <c r="G15" s="6" t="n">
        <f aca="false">COUNTIFS('Traceability Matrix'!$A:$A,$B15,'Traceability Matrix'!$E:$E,G7)</f>
        <v>2</v>
      </c>
      <c r="H15" s="6" t="n">
        <f aca="false">SUM(C15:G15)</f>
        <v>13</v>
      </c>
    </row>
    <row r="16" customFormat="false" ht="15" hidden="false" customHeight="false" outlineLevel="0" collapsed="false">
      <c r="B16" s="5" t="s">
        <v>18</v>
      </c>
      <c r="C16" s="6" t="n">
        <f aca="false">COUNTIFS('Traceability Matrix'!$A:$A,$B16,'Traceability Matrix'!$E:$E,C7)</f>
        <v>2</v>
      </c>
      <c r="D16" s="6" t="n">
        <f aca="false">COUNTIFS('Traceability Matrix'!$A:$A,$B16,'Traceability Matrix'!$E:$E,D7)</f>
        <v>7</v>
      </c>
      <c r="E16" s="6" t="n">
        <f aca="false">COUNTIFS('Traceability Matrix'!$A:$A,$B16,'Traceability Matrix'!$E:$E,E7)</f>
        <v>2</v>
      </c>
      <c r="F16" s="6" t="n">
        <f aca="false">COUNTIFS('Traceability Matrix'!$A:$A,$B16,'Traceability Matrix'!$E:$E,F7)</f>
        <v>0</v>
      </c>
      <c r="G16" s="6" t="n">
        <f aca="false">COUNTIFS('Traceability Matrix'!$A:$A,$B16,'Traceability Matrix'!$E:$E,G7)</f>
        <v>2</v>
      </c>
      <c r="H16" s="6" t="n">
        <f aca="false">SUM(C16:G16)</f>
        <v>13</v>
      </c>
    </row>
    <row r="17" customFormat="false" ht="15" hidden="false" customHeight="false" outlineLevel="0" collapsed="false">
      <c r="B17" s="5" t="s">
        <v>19</v>
      </c>
      <c r="C17" s="7" t="n">
        <f aca="false">SUM(C8:C16)</f>
        <v>28</v>
      </c>
      <c r="D17" s="7" t="n">
        <f aca="false">SUM(D8:D16)</f>
        <v>50</v>
      </c>
      <c r="E17" s="7" t="n">
        <f aca="false">SUM(E8:E16)</f>
        <v>17</v>
      </c>
      <c r="F17" s="7" t="n">
        <f aca="false">SUM(F8:F16)</f>
        <v>3</v>
      </c>
      <c r="G17" s="7" t="n">
        <f aca="false">SUM(G8:G16)</f>
        <v>37</v>
      </c>
      <c r="H17" s="7" t="n">
        <f aca="false">SUM(H8:H16)</f>
        <v>135</v>
      </c>
    </row>
    <row r="20" customFormat="false" ht="15" hidden="false" customHeight="false" outlineLevel="0" collapsed="false">
      <c r="B20" s="8" t="s">
        <v>20</v>
      </c>
    </row>
    <row r="21" customFormat="false" ht="45" hidden="false" customHeight="true" outlineLevel="0" collapsed="false">
      <c r="B21" s="9" t="s">
        <v>21</v>
      </c>
      <c r="C21" s="10" t="s">
        <v>22</v>
      </c>
      <c r="D21" s="10"/>
      <c r="E21" s="10"/>
      <c r="F21" s="10"/>
      <c r="G21" s="10"/>
      <c r="H21" s="10"/>
    </row>
    <row r="22" customFormat="false" ht="45" hidden="false" customHeight="true" outlineLevel="0" collapsed="false">
      <c r="B22" s="9" t="s">
        <v>23</v>
      </c>
      <c r="C22" s="10" t="s">
        <v>24</v>
      </c>
      <c r="D22" s="10"/>
      <c r="E22" s="10"/>
      <c r="F22" s="10"/>
      <c r="G22" s="10"/>
      <c r="H22" s="10"/>
    </row>
    <row r="23" customFormat="false" ht="45" hidden="false" customHeight="true" outlineLevel="0" collapsed="false">
      <c r="B23" s="9" t="s">
        <v>25</v>
      </c>
      <c r="C23" s="10" t="s">
        <v>26</v>
      </c>
      <c r="D23" s="10"/>
      <c r="E23" s="10"/>
      <c r="F23" s="10"/>
      <c r="G23" s="10"/>
      <c r="H23" s="10"/>
    </row>
    <row r="24" customFormat="false" ht="45" hidden="false" customHeight="true" outlineLevel="0" collapsed="false">
      <c r="B24" s="9" t="s">
        <v>27</v>
      </c>
      <c r="C24" s="10" t="s">
        <v>28</v>
      </c>
      <c r="D24" s="10"/>
      <c r="E24" s="10"/>
      <c r="F24" s="10"/>
      <c r="G24" s="10"/>
      <c r="H24" s="10"/>
    </row>
    <row r="25" customFormat="false" ht="45" hidden="false" customHeight="true" outlineLevel="0" collapsed="false">
      <c r="B25" s="9" t="s">
        <v>29</v>
      </c>
      <c r="C25" s="10" t="s">
        <v>30</v>
      </c>
      <c r="D25" s="10"/>
      <c r="E25" s="10"/>
      <c r="F25" s="10"/>
      <c r="G25" s="10"/>
      <c r="H25" s="10"/>
    </row>
    <row r="26" customFormat="false" ht="45" hidden="false" customHeight="true" outlineLevel="0" collapsed="false">
      <c r="B26" s="9" t="s">
        <v>31</v>
      </c>
      <c r="C26" s="10" t="s">
        <v>32</v>
      </c>
      <c r="D26" s="10"/>
      <c r="E26" s="10"/>
      <c r="F26" s="10"/>
      <c r="G26" s="10"/>
      <c r="H26" s="10"/>
    </row>
    <row r="27" customFormat="false" ht="45" hidden="false" customHeight="true" outlineLevel="0" collapsed="false">
      <c r="B27" s="9" t="s">
        <v>33</v>
      </c>
      <c r="C27" s="10" t="s">
        <v>34</v>
      </c>
      <c r="D27" s="10"/>
      <c r="E27" s="10"/>
      <c r="F27" s="10"/>
      <c r="G27" s="10"/>
      <c r="H27" s="10"/>
    </row>
    <row r="28" customFormat="false" ht="45" hidden="false" customHeight="true" outlineLevel="0" collapsed="false">
      <c r="B28" s="9" t="s">
        <v>35</v>
      </c>
      <c r="C28" s="10" t="s">
        <v>36</v>
      </c>
      <c r="D28" s="10"/>
      <c r="E28" s="10"/>
      <c r="F28" s="10"/>
      <c r="G28" s="10"/>
      <c r="H28" s="10"/>
    </row>
    <row r="29" customFormat="false" ht="45" hidden="false" customHeight="true" outlineLevel="0" collapsed="false">
      <c r="B29" s="9" t="s">
        <v>37</v>
      </c>
      <c r="C29" s="10" t="s">
        <v>38</v>
      </c>
      <c r="D29" s="10"/>
      <c r="E29" s="10"/>
      <c r="F29" s="10"/>
      <c r="G29" s="10"/>
      <c r="H29" s="10"/>
    </row>
    <row r="30" customFormat="false" ht="45" hidden="false" customHeight="true" outlineLevel="0" collapsed="false">
      <c r="B30" s="9" t="s">
        <v>39</v>
      </c>
      <c r="C30" s="10" t="s">
        <v>40</v>
      </c>
      <c r="D30" s="10"/>
      <c r="E30" s="10"/>
      <c r="F30" s="10"/>
      <c r="G30" s="10"/>
      <c r="H30" s="10"/>
    </row>
    <row r="31" customFormat="false" ht="45" hidden="false" customHeight="true" outlineLevel="0" collapsed="false">
      <c r="B31" s="9" t="s">
        <v>41</v>
      </c>
      <c r="C31" s="10" t="s">
        <v>42</v>
      </c>
      <c r="D31" s="10"/>
      <c r="E31" s="10"/>
      <c r="F31" s="10"/>
      <c r="G31" s="10"/>
      <c r="H31" s="10"/>
    </row>
    <row r="32" customFormat="false" ht="45" hidden="false" customHeight="true" outlineLevel="0" collapsed="false">
      <c r="B32" s="9" t="s">
        <v>43</v>
      </c>
      <c r="C32" s="10" t="s">
        <v>44</v>
      </c>
      <c r="D32" s="10"/>
      <c r="E32" s="10"/>
      <c r="F32" s="10"/>
      <c r="G32" s="10"/>
      <c r="H32" s="10"/>
    </row>
    <row r="33" customFormat="false" ht="45" hidden="false" customHeight="true" outlineLevel="0" collapsed="false">
      <c r="B33" s="9" t="s">
        <v>45</v>
      </c>
      <c r="C33" s="10" t="s">
        <v>46</v>
      </c>
      <c r="D33" s="10"/>
      <c r="E33" s="10"/>
      <c r="F33" s="10"/>
      <c r="G33" s="10"/>
      <c r="H33" s="10"/>
    </row>
    <row r="34" customFormat="false" ht="45" hidden="false" customHeight="true" outlineLevel="0" collapsed="false">
      <c r="B34" s="9" t="s">
        <v>47</v>
      </c>
      <c r="C34" s="10" t="s">
        <v>48</v>
      </c>
      <c r="D34" s="10"/>
      <c r="E34" s="10"/>
      <c r="F34" s="10"/>
      <c r="G34" s="10"/>
      <c r="H34" s="10"/>
    </row>
    <row r="35" customFormat="false" ht="45" hidden="false" customHeight="true" outlineLevel="0" collapsed="false">
      <c r="B35" s="9" t="s">
        <v>49</v>
      </c>
      <c r="C35" s="10" t="s">
        <v>50</v>
      </c>
      <c r="D35" s="10"/>
      <c r="E35" s="10"/>
      <c r="F35" s="10"/>
      <c r="G35" s="10"/>
      <c r="H35" s="10"/>
    </row>
    <row r="36" customFormat="false" ht="45" hidden="false" customHeight="true" outlineLevel="0" collapsed="false">
      <c r="B36" s="9" t="s">
        <v>51</v>
      </c>
      <c r="C36" s="10" t="s">
        <v>52</v>
      </c>
      <c r="D36" s="10"/>
      <c r="E36" s="10"/>
      <c r="F36" s="10"/>
      <c r="G36" s="10"/>
      <c r="H36" s="10"/>
    </row>
    <row r="38" customFormat="false" ht="15" hidden="false" customHeight="false" outlineLevel="0" collapsed="false">
      <c r="B38" s="11" t="s">
        <v>53</v>
      </c>
    </row>
  </sheetData>
  <mergeCells count="18">
    <mergeCell ref="B3:H3"/>
    <mergeCell ref="B4:H4"/>
    <mergeCell ref="C21:H21"/>
    <mergeCell ref="C22:H22"/>
    <mergeCell ref="C23:H23"/>
    <mergeCell ref="C24:H24"/>
    <mergeCell ref="C25:H25"/>
    <mergeCell ref="C26:H26"/>
    <mergeCell ref="C27:H27"/>
    <mergeCell ref="C28:H28"/>
    <mergeCell ref="C29:H29"/>
    <mergeCell ref="C30:H30"/>
    <mergeCell ref="C31:H31"/>
    <mergeCell ref="C32:H32"/>
    <mergeCell ref="C33:H33"/>
    <mergeCell ref="C34:H34"/>
    <mergeCell ref="C35:H35"/>
    <mergeCell ref="C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8"/>
    <col collapsed="false" customWidth="true" hidden="false" outlineLevel="0" max="4" min="4" style="0" width="9"/>
    <col collapsed="false" customWidth="true" hidden="false" outlineLevel="0" max="5" min="5" style="0" width="16"/>
    <col collapsed="false" customWidth="true" hidden="false" outlineLevel="0" max="6" min="6" style="0" width="58"/>
    <col collapsed="false" customWidth="true" hidden="false" outlineLevel="0" max="7" min="7" style="0" width="90"/>
  </cols>
  <sheetData>
    <row r="1" customFormat="false" ht="19.5" hidden="false" customHeight="true" outlineLevel="0" collapsed="false">
      <c r="A1" s="4" t="s">
        <v>3</v>
      </c>
      <c r="B1" s="4" t="s">
        <v>54</v>
      </c>
      <c r="C1" s="4" t="s">
        <v>55</v>
      </c>
      <c r="D1" s="4" t="s">
        <v>56</v>
      </c>
      <c r="E1" s="4" t="s">
        <v>57</v>
      </c>
      <c r="F1" s="4" t="s">
        <v>58</v>
      </c>
      <c r="G1" s="4" t="s">
        <v>59</v>
      </c>
    </row>
    <row r="2" customFormat="false" ht="60" hidden="false" customHeight="true" outlineLevel="0" collapsed="false">
      <c r="A2" s="12" t="s">
        <v>10</v>
      </c>
      <c r="B2" s="12" t="s">
        <v>60</v>
      </c>
      <c r="C2" s="13" t="s">
        <v>61</v>
      </c>
      <c r="D2" s="13" t="s">
        <v>62</v>
      </c>
      <c r="E2" s="14" t="s">
        <v>4</v>
      </c>
      <c r="F2" s="15" t="s">
        <v>63</v>
      </c>
      <c r="G2" s="15" t="s">
        <v>64</v>
      </c>
    </row>
    <row r="3" customFormat="false" ht="60" hidden="false" customHeight="true" outlineLevel="0" collapsed="false">
      <c r="A3" s="12" t="s">
        <v>10</v>
      </c>
      <c r="B3" s="12" t="s">
        <v>65</v>
      </c>
      <c r="C3" s="13" t="s">
        <v>61</v>
      </c>
      <c r="D3" s="13" t="s">
        <v>62</v>
      </c>
      <c r="E3" s="14" t="s">
        <v>4</v>
      </c>
      <c r="F3" s="15" t="s">
        <v>66</v>
      </c>
      <c r="G3" s="15" t="s">
        <v>67</v>
      </c>
    </row>
    <row r="4" customFormat="false" ht="60" hidden="false" customHeight="true" outlineLevel="0" collapsed="false">
      <c r="A4" s="12" t="s">
        <v>10</v>
      </c>
      <c r="B4" s="12" t="s">
        <v>39</v>
      </c>
      <c r="C4" s="13" t="s">
        <v>61</v>
      </c>
      <c r="D4" s="13" t="s">
        <v>62</v>
      </c>
      <c r="E4" s="16" t="s">
        <v>8</v>
      </c>
      <c r="F4" s="15" t="s">
        <v>68</v>
      </c>
      <c r="G4" s="15" t="s">
        <v>40</v>
      </c>
    </row>
    <row r="5" customFormat="false" ht="60" hidden="false" customHeight="true" outlineLevel="0" collapsed="false">
      <c r="A5" s="12" t="s">
        <v>10</v>
      </c>
      <c r="B5" s="12" t="s">
        <v>69</v>
      </c>
      <c r="C5" s="13" t="s">
        <v>61</v>
      </c>
      <c r="D5" s="13" t="s">
        <v>62</v>
      </c>
      <c r="E5" s="14" t="s">
        <v>4</v>
      </c>
      <c r="F5" s="15" t="s">
        <v>70</v>
      </c>
      <c r="G5" s="15" t="s">
        <v>71</v>
      </c>
    </row>
    <row r="6" customFormat="false" ht="60" hidden="false" customHeight="true" outlineLevel="0" collapsed="false">
      <c r="A6" s="12" t="s">
        <v>10</v>
      </c>
      <c r="B6" s="12" t="s">
        <v>72</v>
      </c>
      <c r="C6" s="13" t="s">
        <v>61</v>
      </c>
      <c r="D6" s="13" t="s">
        <v>62</v>
      </c>
      <c r="E6" s="14" t="s">
        <v>4</v>
      </c>
      <c r="F6" s="15" t="s">
        <v>73</v>
      </c>
      <c r="G6" s="15" t="s">
        <v>74</v>
      </c>
    </row>
    <row r="7" customFormat="false" ht="60" hidden="false" customHeight="true" outlineLevel="0" collapsed="false">
      <c r="A7" s="12" t="s">
        <v>10</v>
      </c>
      <c r="B7" s="12" t="s">
        <v>75</v>
      </c>
      <c r="C7" s="13" t="s">
        <v>61</v>
      </c>
      <c r="D7" s="13" t="s">
        <v>62</v>
      </c>
      <c r="E7" s="17" t="s">
        <v>5</v>
      </c>
      <c r="F7" s="15" t="s">
        <v>76</v>
      </c>
      <c r="G7" s="15" t="s">
        <v>77</v>
      </c>
    </row>
    <row r="8" customFormat="false" ht="60" hidden="false" customHeight="true" outlineLevel="0" collapsed="false">
      <c r="A8" s="12" t="s">
        <v>10</v>
      </c>
      <c r="B8" s="12" t="s">
        <v>78</v>
      </c>
      <c r="C8" s="13" t="s">
        <v>61</v>
      </c>
      <c r="D8" s="13" t="s">
        <v>62</v>
      </c>
      <c r="E8" s="14" t="s">
        <v>4</v>
      </c>
      <c r="F8" s="15" t="s">
        <v>79</v>
      </c>
      <c r="G8" s="15" t="s">
        <v>80</v>
      </c>
    </row>
    <row r="9" customFormat="false" ht="60" hidden="false" customHeight="true" outlineLevel="0" collapsed="false">
      <c r="A9" s="12" t="s">
        <v>10</v>
      </c>
      <c r="B9" s="12" t="s">
        <v>81</v>
      </c>
      <c r="C9" s="13" t="s">
        <v>61</v>
      </c>
      <c r="D9" s="13" t="s">
        <v>82</v>
      </c>
      <c r="E9" s="17" t="s">
        <v>5</v>
      </c>
      <c r="F9" s="15" t="s">
        <v>83</v>
      </c>
      <c r="G9" s="15" t="s">
        <v>84</v>
      </c>
    </row>
    <row r="10" customFormat="false" ht="60" hidden="false" customHeight="true" outlineLevel="0" collapsed="false">
      <c r="A10" s="12" t="s">
        <v>10</v>
      </c>
      <c r="B10" s="12" t="s">
        <v>85</v>
      </c>
      <c r="C10" s="13" t="s">
        <v>61</v>
      </c>
      <c r="D10" s="13" t="s">
        <v>82</v>
      </c>
      <c r="E10" s="17" t="s">
        <v>5</v>
      </c>
      <c r="F10" s="15" t="s">
        <v>86</v>
      </c>
      <c r="G10" s="15" t="s">
        <v>87</v>
      </c>
    </row>
    <row r="11" customFormat="false" ht="60" hidden="false" customHeight="true" outlineLevel="0" collapsed="false">
      <c r="A11" s="12" t="s">
        <v>10</v>
      </c>
      <c r="B11" s="12" t="s">
        <v>25</v>
      </c>
      <c r="C11" s="13" t="s">
        <v>61</v>
      </c>
      <c r="D11" s="13" t="s">
        <v>82</v>
      </c>
      <c r="E11" s="16" t="s">
        <v>8</v>
      </c>
      <c r="F11" s="15" t="s">
        <v>88</v>
      </c>
      <c r="G11" s="15" t="s">
        <v>26</v>
      </c>
    </row>
    <row r="12" customFormat="false" ht="60" hidden="false" customHeight="true" outlineLevel="0" collapsed="false">
      <c r="A12" s="12" t="s">
        <v>10</v>
      </c>
      <c r="B12" s="12" t="s">
        <v>23</v>
      </c>
      <c r="C12" s="13" t="s">
        <v>61</v>
      </c>
      <c r="D12" s="13" t="s">
        <v>62</v>
      </c>
      <c r="E12" s="16" t="s">
        <v>8</v>
      </c>
      <c r="F12" s="15" t="s">
        <v>89</v>
      </c>
      <c r="G12" s="15" t="s">
        <v>24</v>
      </c>
    </row>
    <row r="13" customFormat="false" ht="60" hidden="false" customHeight="true" outlineLevel="0" collapsed="false">
      <c r="A13" s="12" t="s">
        <v>10</v>
      </c>
      <c r="B13" s="12" t="s">
        <v>90</v>
      </c>
      <c r="C13" s="13" t="s">
        <v>61</v>
      </c>
      <c r="D13" s="13" t="s">
        <v>62</v>
      </c>
      <c r="E13" s="14" t="s">
        <v>4</v>
      </c>
      <c r="F13" s="15" t="s">
        <v>91</v>
      </c>
      <c r="G13" s="15" t="s">
        <v>92</v>
      </c>
    </row>
    <row r="14" customFormat="false" ht="60" hidden="false" customHeight="true" outlineLevel="0" collapsed="false">
      <c r="A14" s="12" t="s">
        <v>10</v>
      </c>
      <c r="B14" s="12" t="s">
        <v>93</v>
      </c>
      <c r="C14" s="13" t="s">
        <v>61</v>
      </c>
      <c r="D14" s="13" t="s">
        <v>94</v>
      </c>
      <c r="E14" s="18" t="s">
        <v>7</v>
      </c>
      <c r="F14" s="15" t="s">
        <v>95</v>
      </c>
      <c r="G14" s="15" t="s">
        <v>96</v>
      </c>
    </row>
    <row r="15" customFormat="false" ht="60" hidden="false" customHeight="true" outlineLevel="0" collapsed="false">
      <c r="A15" s="12" t="s">
        <v>10</v>
      </c>
      <c r="B15" s="12" t="s">
        <v>97</v>
      </c>
      <c r="C15" s="13" t="s">
        <v>98</v>
      </c>
      <c r="D15" s="13" t="s">
        <v>99</v>
      </c>
      <c r="E15" s="17" t="s">
        <v>5</v>
      </c>
      <c r="F15" s="15" t="s">
        <v>100</v>
      </c>
      <c r="G15" s="15" t="s">
        <v>101</v>
      </c>
    </row>
    <row r="16" customFormat="false" ht="60" hidden="false" customHeight="true" outlineLevel="0" collapsed="false">
      <c r="A16" s="12" t="s">
        <v>10</v>
      </c>
      <c r="B16" s="12" t="s">
        <v>102</v>
      </c>
      <c r="C16" s="13" t="s">
        <v>98</v>
      </c>
      <c r="D16" s="13" t="s">
        <v>99</v>
      </c>
      <c r="E16" s="14" t="s">
        <v>4</v>
      </c>
      <c r="F16" s="15" t="s">
        <v>103</v>
      </c>
      <c r="G16" s="15" t="s">
        <v>104</v>
      </c>
    </row>
    <row r="17" customFormat="false" ht="60" hidden="false" customHeight="true" outlineLevel="0" collapsed="false">
      <c r="A17" s="12" t="s">
        <v>10</v>
      </c>
      <c r="B17" s="12" t="s">
        <v>27</v>
      </c>
      <c r="C17" s="13" t="s">
        <v>98</v>
      </c>
      <c r="D17" s="13" t="s">
        <v>99</v>
      </c>
      <c r="E17" s="16" t="s">
        <v>8</v>
      </c>
      <c r="F17" s="15" t="s">
        <v>105</v>
      </c>
      <c r="G17" s="15" t="s">
        <v>28</v>
      </c>
    </row>
    <row r="18" customFormat="false" ht="60" hidden="false" customHeight="true" outlineLevel="0" collapsed="false">
      <c r="A18" s="12" t="s">
        <v>10</v>
      </c>
      <c r="B18" s="12" t="s">
        <v>106</v>
      </c>
      <c r="C18" s="13" t="s">
        <v>98</v>
      </c>
      <c r="D18" s="13" t="s">
        <v>99</v>
      </c>
      <c r="E18" s="16" t="s">
        <v>8</v>
      </c>
      <c r="F18" s="15" t="s">
        <v>107</v>
      </c>
      <c r="G18" s="15" t="s">
        <v>108</v>
      </c>
    </row>
    <row r="19" customFormat="false" ht="60" hidden="false" customHeight="true" outlineLevel="0" collapsed="false">
      <c r="A19" s="12" t="s">
        <v>10</v>
      </c>
      <c r="B19" s="12" t="s">
        <v>109</v>
      </c>
      <c r="C19" s="13" t="s">
        <v>98</v>
      </c>
      <c r="D19" s="13" t="s">
        <v>99</v>
      </c>
      <c r="E19" s="17" t="s">
        <v>5</v>
      </c>
      <c r="F19" s="15" t="s">
        <v>110</v>
      </c>
      <c r="G19" s="15" t="s">
        <v>111</v>
      </c>
    </row>
    <row r="20" customFormat="false" ht="60" hidden="false" customHeight="true" outlineLevel="0" collapsed="false">
      <c r="A20" s="12" t="s">
        <v>11</v>
      </c>
      <c r="B20" s="12" t="s">
        <v>112</v>
      </c>
      <c r="C20" s="13" t="s">
        <v>61</v>
      </c>
      <c r="D20" s="13" t="s">
        <v>62</v>
      </c>
      <c r="E20" s="17" t="s">
        <v>5</v>
      </c>
      <c r="F20" s="15" t="s">
        <v>113</v>
      </c>
      <c r="G20" s="15" t="s">
        <v>114</v>
      </c>
    </row>
    <row r="21" customFormat="false" ht="60" hidden="false" customHeight="true" outlineLevel="0" collapsed="false">
      <c r="A21" s="12" t="s">
        <v>11</v>
      </c>
      <c r="B21" s="12" t="s">
        <v>51</v>
      </c>
      <c r="C21" s="13" t="s">
        <v>61</v>
      </c>
      <c r="D21" s="13" t="s">
        <v>62</v>
      </c>
      <c r="E21" s="16" t="s">
        <v>8</v>
      </c>
      <c r="F21" s="15" t="s">
        <v>115</v>
      </c>
      <c r="G21" s="15" t="s">
        <v>52</v>
      </c>
    </row>
    <row r="22" customFormat="false" ht="60" hidden="false" customHeight="true" outlineLevel="0" collapsed="false">
      <c r="A22" s="12" t="s">
        <v>11</v>
      </c>
      <c r="B22" s="12" t="s">
        <v>116</v>
      </c>
      <c r="C22" s="13" t="s">
        <v>61</v>
      </c>
      <c r="D22" s="13" t="s">
        <v>62</v>
      </c>
      <c r="E22" s="17" t="s">
        <v>5</v>
      </c>
      <c r="F22" s="15" t="s">
        <v>117</v>
      </c>
      <c r="G22" s="15" t="s">
        <v>118</v>
      </c>
    </row>
    <row r="23" customFormat="false" ht="60" hidden="false" customHeight="true" outlineLevel="0" collapsed="false">
      <c r="A23" s="12" t="s">
        <v>11</v>
      </c>
      <c r="B23" s="12" t="s">
        <v>119</v>
      </c>
      <c r="C23" s="13" t="s">
        <v>61</v>
      </c>
      <c r="D23" s="13" t="s">
        <v>62</v>
      </c>
      <c r="E23" s="17" t="s">
        <v>5</v>
      </c>
      <c r="F23" s="15" t="s">
        <v>120</v>
      </c>
      <c r="G23" s="15" t="s">
        <v>121</v>
      </c>
    </row>
    <row r="24" customFormat="false" ht="60" hidden="false" customHeight="true" outlineLevel="0" collapsed="false">
      <c r="A24" s="12" t="s">
        <v>11</v>
      </c>
      <c r="B24" s="12" t="s">
        <v>122</v>
      </c>
      <c r="C24" s="13" t="s">
        <v>61</v>
      </c>
      <c r="D24" s="13" t="s">
        <v>62</v>
      </c>
      <c r="E24" s="14" t="s">
        <v>4</v>
      </c>
      <c r="F24" s="15" t="s">
        <v>123</v>
      </c>
      <c r="G24" s="15" t="s">
        <v>124</v>
      </c>
    </row>
    <row r="25" customFormat="false" ht="60" hidden="false" customHeight="true" outlineLevel="0" collapsed="false">
      <c r="A25" s="12" t="s">
        <v>11</v>
      </c>
      <c r="B25" s="12" t="s">
        <v>125</v>
      </c>
      <c r="C25" s="13" t="s">
        <v>61</v>
      </c>
      <c r="D25" s="13" t="s">
        <v>62</v>
      </c>
      <c r="E25" s="14" t="s">
        <v>4</v>
      </c>
      <c r="F25" s="15" t="s">
        <v>126</v>
      </c>
      <c r="G25" s="15" t="s">
        <v>127</v>
      </c>
    </row>
    <row r="26" customFormat="false" ht="60" hidden="false" customHeight="true" outlineLevel="0" collapsed="false">
      <c r="A26" s="12" t="s">
        <v>11</v>
      </c>
      <c r="B26" s="12" t="s">
        <v>128</v>
      </c>
      <c r="C26" s="13" t="s">
        <v>61</v>
      </c>
      <c r="D26" s="13" t="s">
        <v>62</v>
      </c>
      <c r="E26" s="17" t="s">
        <v>5</v>
      </c>
      <c r="F26" s="15" t="s">
        <v>129</v>
      </c>
      <c r="G26" s="15" t="s">
        <v>130</v>
      </c>
    </row>
    <row r="27" customFormat="false" ht="60" hidden="false" customHeight="true" outlineLevel="0" collapsed="false">
      <c r="A27" s="12" t="s">
        <v>11</v>
      </c>
      <c r="B27" s="12" t="s">
        <v>131</v>
      </c>
      <c r="C27" s="13" t="s">
        <v>61</v>
      </c>
      <c r="D27" s="13" t="s">
        <v>82</v>
      </c>
      <c r="E27" s="17" t="s">
        <v>5</v>
      </c>
      <c r="F27" s="15" t="s">
        <v>132</v>
      </c>
      <c r="G27" s="15" t="s">
        <v>133</v>
      </c>
    </row>
    <row r="28" customFormat="false" ht="60" hidden="false" customHeight="true" outlineLevel="0" collapsed="false">
      <c r="A28" s="12" t="s">
        <v>11</v>
      </c>
      <c r="B28" s="12" t="s">
        <v>134</v>
      </c>
      <c r="C28" s="13" t="s">
        <v>61</v>
      </c>
      <c r="D28" s="13" t="s">
        <v>82</v>
      </c>
      <c r="E28" s="17" t="s">
        <v>5</v>
      </c>
      <c r="F28" s="15" t="s">
        <v>135</v>
      </c>
      <c r="G28" s="15" t="s">
        <v>136</v>
      </c>
    </row>
    <row r="29" customFormat="false" ht="60" hidden="false" customHeight="true" outlineLevel="0" collapsed="false">
      <c r="A29" s="12" t="s">
        <v>11</v>
      </c>
      <c r="B29" s="12" t="s">
        <v>137</v>
      </c>
      <c r="C29" s="13" t="s">
        <v>61</v>
      </c>
      <c r="D29" s="13" t="s">
        <v>138</v>
      </c>
      <c r="E29" s="19" t="s">
        <v>6</v>
      </c>
      <c r="F29" s="15" t="s">
        <v>139</v>
      </c>
      <c r="G29" s="15" t="s">
        <v>140</v>
      </c>
    </row>
    <row r="30" customFormat="false" ht="60" hidden="false" customHeight="true" outlineLevel="0" collapsed="false">
      <c r="A30" s="12" t="s">
        <v>11</v>
      </c>
      <c r="B30" s="12" t="s">
        <v>141</v>
      </c>
      <c r="C30" s="13" t="s">
        <v>98</v>
      </c>
      <c r="D30" s="13" t="s">
        <v>99</v>
      </c>
      <c r="E30" s="17" t="s">
        <v>5</v>
      </c>
      <c r="F30" s="15" t="s">
        <v>142</v>
      </c>
      <c r="G30" s="15" t="s">
        <v>143</v>
      </c>
    </row>
    <row r="31" customFormat="false" ht="60" hidden="false" customHeight="true" outlineLevel="0" collapsed="false">
      <c r="A31" s="12" t="s">
        <v>11</v>
      </c>
      <c r="B31" s="12" t="s">
        <v>144</v>
      </c>
      <c r="C31" s="13" t="s">
        <v>98</v>
      </c>
      <c r="D31" s="13" t="s">
        <v>99</v>
      </c>
      <c r="E31" s="17" t="s">
        <v>5</v>
      </c>
      <c r="F31" s="15" t="s">
        <v>145</v>
      </c>
      <c r="G31" s="15" t="s">
        <v>146</v>
      </c>
    </row>
    <row r="32" customFormat="false" ht="60" hidden="false" customHeight="true" outlineLevel="0" collapsed="false">
      <c r="A32" s="12" t="s">
        <v>11</v>
      </c>
      <c r="B32" s="12" t="s">
        <v>147</v>
      </c>
      <c r="C32" s="13" t="s">
        <v>98</v>
      </c>
      <c r="D32" s="13" t="s">
        <v>99</v>
      </c>
      <c r="E32" s="17" t="s">
        <v>5</v>
      </c>
      <c r="F32" s="15" t="s">
        <v>148</v>
      </c>
      <c r="G32" s="15" t="s">
        <v>149</v>
      </c>
    </row>
    <row r="33" customFormat="false" ht="60" hidden="false" customHeight="true" outlineLevel="0" collapsed="false">
      <c r="A33" s="12" t="s">
        <v>11</v>
      </c>
      <c r="B33" s="12" t="s">
        <v>150</v>
      </c>
      <c r="C33" s="13" t="s">
        <v>98</v>
      </c>
      <c r="D33" s="13" t="s">
        <v>99</v>
      </c>
      <c r="E33" s="16" t="s">
        <v>8</v>
      </c>
      <c r="F33" s="15" t="s">
        <v>151</v>
      </c>
      <c r="G33" s="15" t="s">
        <v>152</v>
      </c>
    </row>
    <row r="34" customFormat="false" ht="60" hidden="false" customHeight="true" outlineLevel="0" collapsed="false">
      <c r="A34" s="12" t="s">
        <v>12</v>
      </c>
      <c r="B34" s="12" t="s">
        <v>153</v>
      </c>
      <c r="C34" s="13" t="s">
        <v>61</v>
      </c>
      <c r="D34" s="13" t="s">
        <v>62</v>
      </c>
      <c r="E34" s="14" t="s">
        <v>4</v>
      </c>
      <c r="F34" s="15" t="s">
        <v>154</v>
      </c>
      <c r="G34" s="15" t="s">
        <v>155</v>
      </c>
    </row>
    <row r="35" customFormat="false" ht="60" hidden="false" customHeight="true" outlineLevel="0" collapsed="false">
      <c r="A35" s="12" t="s">
        <v>12</v>
      </c>
      <c r="B35" s="12" t="s">
        <v>156</v>
      </c>
      <c r="C35" s="13" t="s">
        <v>61</v>
      </c>
      <c r="D35" s="13" t="s">
        <v>62</v>
      </c>
      <c r="E35" s="16" t="s">
        <v>8</v>
      </c>
      <c r="F35" s="15" t="s">
        <v>157</v>
      </c>
      <c r="G35" s="15" t="s">
        <v>158</v>
      </c>
    </row>
    <row r="36" customFormat="false" ht="60" hidden="false" customHeight="true" outlineLevel="0" collapsed="false">
      <c r="A36" s="12" t="s">
        <v>12</v>
      </c>
      <c r="B36" s="12" t="s">
        <v>159</v>
      </c>
      <c r="C36" s="13" t="s">
        <v>61</v>
      </c>
      <c r="D36" s="13" t="s">
        <v>62</v>
      </c>
      <c r="E36" s="19" t="s">
        <v>6</v>
      </c>
      <c r="F36" s="15" t="s">
        <v>160</v>
      </c>
      <c r="G36" s="15" t="s">
        <v>161</v>
      </c>
    </row>
    <row r="37" customFormat="false" ht="60" hidden="false" customHeight="true" outlineLevel="0" collapsed="false">
      <c r="A37" s="12" t="s">
        <v>12</v>
      </c>
      <c r="B37" s="12" t="s">
        <v>162</v>
      </c>
      <c r="C37" s="13" t="s">
        <v>61</v>
      </c>
      <c r="D37" s="13" t="s">
        <v>62</v>
      </c>
      <c r="E37" s="14" t="s">
        <v>4</v>
      </c>
      <c r="F37" s="15" t="s">
        <v>163</v>
      </c>
      <c r="G37" s="15" t="s">
        <v>164</v>
      </c>
    </row>
    <row r="38" customFormat="false" ht="60" hidden="false" customHeight="true" outlineLevel="0" collapsed="false">
      <c r="A38" s="12" t="s">
        <v>12</v>
      </c>
      <c r="B38" s="12" t="s">
        <v>165</v>
      </c>
      <c r="C38" s="13" t="s">
        <v>61</v>
      </c>
      <c r="D38" s="13" t="s">
        <v>62</v>
      </c>
      <c r="E38" s="16" t="s">
        <v>8</v>
      </c>
      <c r="F38" s="15" t="s">
        <v>166</v>
      </c>
      <c r="G38" s="15" t="s">
        <v>167</v>
      </c>
    </row>
    <row r="39" customFormat="false" ht="60" hidden="false" customHeight="true" outlineLevel="0" collapsed="false">
      <c r="A39" s="12" t="s">
        <v>12</v>
      </c>
      <c r="B39" s="12" t="s">
        <v>33</v>
      </c>
      <c r="C39" s="13" t="s">
        <v>61</v>
      </c>
      <c r="D39" s="13" t="s">
        <v>62</v>
      </c>
      <c r="E39" s="16" t="s">
        <v>8</v>
      </c>
      <c r="F39" s="15" t="s">
        <v>168</v>
      </c>
      <c r="G39" s="15" t="s">
        <v>34</v>
      </c>
    </row>
    <row r="40" customFormat="false" ht="60" hidden="false" customHeight="true" outlineLevel="0" collapsed="false">
      <c r="A40" s="12" t="s">
        <v>12</v>
      </c>
      <c r="B40" s="12" t="s">
        <v>169</v>
      </c>
      <c r="C40" s="13" t="s">
        <v>61</v>
      </c>
      <c r="D40" s="13" t="s">
        <v>62</v>
      </c>
      <c r="E40" s="17" t="s">
        <v>5</v>
      </c>
      <c r="F40" s="15" t="s">
        <v>170</v>
      </c>
      <c r="G40" s="15" t="s">
        <v>171</v>
      </c>
    </row>
    <row r="41" customFormat="false" ht="60" hidden="false" customHeight="true" outlineLevel="0" collapsed="false">
      <c r="A41" s="12" t="s">
        <v>12</v>
      </c>
      <c r="B41" s="12" t="s">
        <v>172</v>
      </c>
      <c r="C41" s="13" t="s">
        <v>61</v>
      </c>
      <c r="D41" s="13" t="s">
        <v>62</v>
      </c>
      <c r="E41" s="14" t="s">
        <v>4</v>
      </c>
      <c r="F41" s="15" t="s">
        <v>173</v>
      </c>
      <c r="G41" s="15" t="s">
        <v>174</v>
      </c>
    </row>
    <row r="42" customFormat="false" ht="60" hidden="false" customHeight="true" outlineLevel="0" collapsed="false">
      <c r="A42" s="12" t="s">
        <v>12</v>
      </c>
      <c r="B42" s="12" t="s">
        <v>175</v>
      </c>
      <c r="C42" s="13" t="s">
        <v>61</v>
      </c>
      <c r="D42" s="13" t="s">
        <v>62</v>
      </c>
      <c r="E42" s="14" t="s">
        <v>4</v>
      </c>
      <c r="F42" s="15" t="s">
        <v>176</v>
      </c>
      <c r="G42" s="15" t="s">
        <v>177</v>
      </c>
    </row>
    <row r="43" customFormat="false" ht="60" hidden="false" customHeight="true" outlineLevel="0" collapsed="false">
      <c r="A43" s="12" t="s">
        <v>12</v>
      </c>
      <c r="B43" s="12" t="s">
        <v>178</v>
      </c>
      <c r="C43" s="13" t="s">
        <v>61</v>
      </c>
      <c r="D43" s="13" t="s">
        <v>82</v>
      </c>
      <c r="E43" s="14" t="s">
        <v>4</v>
      </c>
      <c r="F43" s="15" t="s">
        <v>179</v>
      </c>
      <c r="G43" s="15" t="s">
        <v>180</v>
      </c>
    </row>
    <row r="44" customFormat="false" ht="60" hidden="false" customHeight="true" outlineLevel="0" collapsed="false">
      <c r="A44" s="12" t="s">
        <v>12</v>
      </c>
      <c r="B44" s="12" t="s">
        <v>181</v>
      </c>
      <c r="C44" s="13" t="s">
        <v>61</v>
      </c>
      <c r="D44" s="13" t="s">
        <v>82</v>
      </c>
      <c r="E44" s="17" t="s">
        <v>5</v>
      </c>
      <c r="F44" s="15" t="s">
        <v>182</v>
      </c>
      <c r="G44" s="15" t="s">
        <v>183</v>
      </c>
    </row>
    <row r="45" customFormat="false" ht="60" hidden="false" customHeight="true" outlineLevel="0" collapsed="false">
      <c r="A45" s="12" t="s">
        <v>12</v>
      </c>
      <c r="B45" s="12" t="s">
        <v>184</v>
      </c>
      <c r="C45" s="13" t="s">
        <v>61</v>
      </c>
      <c r="D45" s="13" t="s">
        <v>138</v>
      </c>
      <c r="E45" s="19" t="s">
        <v>6</v>
      </c>
      <c r="F45" s="15" t="s">
        <v>185</v>
      </c>
      <c r="G45" s="15" t="s">
        <v>186</v>
      </c>
    </row>
    <row r="46" customFormat="false" ht="60" hidden="false" customHeight="true" outlineLevel="0" collapsed="false">
      <c r="A46" s="12" t="s">
        <v>12</v>
      </c>
      <c r="B46" s="12" t="s">
        <v>187</v>
      </c>
      <c r="C46" s="13" t="s">
        <v>98</v>
      </c>
      <c r="D46" s="13" t="s">
        <v>99</v>
      </c>
      <c r="E46" s="17" t="s">
        <v>5</v>
      </c>
      <c r="F46" s="15" t="s">
        <v>188</v>
      </c>
      <c r="G46" s="15" t="s">
        <v>189</v>
      </c>
    </row>
    <row r="47" customFormat="false" ht="60" hidden="false" customHeight="true" outlineLevel="0" collapsed="false">
      <c r="A47" s="12" t="s">
        <v>12</v>
      </c>
      <c r="B47" s="12" t="s">
        <v>190</v>
      </c>
      <c r="C47" s="13" t="s">
        <v>98</v>
      </c>
      <c r="D47" s="13" t="s">
        <v>99</v>
      </c>
      <c r="E47" s="17" t="s">
        <v>5</v>
      </c>
      <c r="F47" s="15" t="s">
        <v>191</v>
      </c>
      <c r="G47" s="15" t="s">
        <v>192</v>
      </c>
    </row>
    <row r="48" customFormat="false" ht="60" hidden="false" customHeight="true" outlineLevel="0" collapsed="false">
      <c r="A48" s="12" t="s">
        <v>12</v>
      </c>
      <c r="B48" s="12" t="s">
        <v>35</v>
      </c>
      <c r="C48" s="13" t="s">
        <v>98</v>
      </c>
      <c r="D48" s="13" t="s">
        <v>99</v>
      </c>
      <c r="E48" s="16" t="s">
        <v>8</v>
      </c>
      <c r="F48" s="15" t="s">
        <v>193</v>
      </c>
      <c r="G48" s="15" t="s">
        <v>36</v>
      </c>
    </row>
    <row r="49" customFormat="false" ht="60" hidden="false" customHeight="true" outlineLevel="0" collapsed="false">
      <c r="A49" s="12" t="s">
        <v>12</v>
      </c>
      <c r="B49" s="12" t="s">
        <v>194</v>
      </c>
      <c r="C49" s="13" t="s">
        <v>98</v>
      </c>
      <c r="D49" s="13" t="s">
        <v>99</v>
      </c>
      <c r="E49" s="17" t="s">
        <v>5</v>
      </c>
      <c r="F49" s="15" t="s">
        <v>195</v>
      </c>
      <c r="G49" s="15" t="s">
        <v>196</v>
      </c>
    </row>
    <row r="50" customFormat="false" ht="60" hidden="false" customHeight="true" outlineLevel="0" collapsed="false">
      <c r="A50" s="12" t="s">
        <v>12</v>
      </c>
      <c r="B50" s="12" t="s">
        <v>197</v>
      </c>
      <c r="C50" s="13" t="s">
        <v>198</v>
      </c>
      <c r="D50" s="13" t="s">
        <v>99</v>
      </c>
      <c r="E50" s="17" t="s">
        <v>5</v>
      </c>
      <c r="F50" s="15" t="s">
        <v>199</v>
      </c>
      <c r="G50" s="15" t="s">
        <v>200</v>
      </c>
    </row>
    <row r="51" customFormat="false" ht="60" hidden="false" customHeight="true" outlineLevel="0" collapsed="false">
      <c r="A51" s="12" t="s">
        <v>13</v>
      </c>
      <c r="B51" s="12" t="s">
        <v>201</v>
      </c>
      <c r="C51" s="13" t="s">
        <v>61</v>
      </c>
      <c r="D51" s="13" t="s">
        <v>62</v>
      </c>
      <c r="E51" s="17" t="s">
        <v>5</v>
      </c>
      <c r="F51" s="15" t="s">
        <v>202</v>
      </c>
      <c r="G51" s="15" t="s">
        <v>203</v>
      </c>
    </row>
    <row r="52" customFormat="false" ht="60" hidden="false" customHeight="true" outlineLevel="0" collapsed="false">
      <c r="A52" s="12" t="s">
        <v>13</v>
      </c>
      <c r="B52" s="12" t="s">
        <v>204</v>
      </c>
      <c r="C52" s="13" t="s">
        <v>61</v>
      </c>
      <c r="D52" s="13" t="s">
        <v>62</v>
      </c>
      <c r="E52" s="14" t="s">
        <v>4</v>
      </c>
      <c r="F52" s="15" t="s">
        <v>205</v>
      </c>
      <c r="G52" s="15" t="s">
        <v>206</v>
      </c>
    </row>
    <row r="53" customFormat="false" ht="60" hidden="false" customHeight="true" outlineLevel="0" collapsed="false">
      <c r="A53" s="12" t="s">
        <v>13</v>
      </c>
      <c r="B53" s="12" t="s">
        <v>207</v>
      </c>
      <c r="C53" s="13" t="s">
        <v>61</v>
      </c>
      <c r="D53" s="13" t="s">
        <v>62</v>
      </c>
      <c r="E53" s="14" t="s">
        <v>4</v>
      </c>
      <c r="F53" s="15" t="s">
        <v>208</v>
      </c>
      <c r="G53" s="15" t="s">
        <v>209</v>
      </c>
    </row>
    <row r="54" customFormat="false" ht="60" hidden="false" customHeight="true" outlineLevel="0" collapsed="false">
      <c r="A54" s="12" t="s">
        <v>13</v>
      </c>
      <c r="B54" s="12" t="s">
        <v>210</v>
      </c>
      <c r="C54" s="13" t="s">
        <v>61</v>
      </c>
      <c r="D54" s="13" t="s">
        <v>62</v>
      </c>
      <c r="E54" s="14" t="s">
        <v>4</v>
      </c>
      <c r="F54" s="15" t="s">
        <v>211</v>
      </c>
      <c r="G54" s="15" t="s">
        <v>212</v>
      </c>
    </row>
    <row r="55" customFormat="false" ht="60" hidden="false" customHeight="true" outlineLevel="0" collapsed="false">
      <c r="A55" s="12" t="s">
        <v>13</v>
      </c>
      <c r="B55" s="12" t="s">
        <v>213</v>
      </c>
      <c r="C55" s="13" t="s">
        <v>61</v>
      </c>
      <c r="D55" s="13" t="s">
        <v>62</v>
      </c>
      <c r="E55" s="14" t="s">
        <v>4</v>
      </c>
      <c r="F55" s="15" t="s">
        <v>214</v>
      </c>
      <c r="G55" s="15" t="s">
        <v>215</v>
      </c>
    </row>
    <row r="56" customFormat="false" ht="60" hidden="false" customHeight="true" outlineLevel="0" collapsed="false">
      <c r="A56" s="12" t="s">
        <v>13</v>
      </c>
      <c r="B56" s="12" t="s">
        <v>216</v>
      </c>
      <c r="C56" s="13" t="s">
        <v>61</v>
      </c>
      <c r="D56" s="13" t="s">
        <v>62</v>
      </c>
      <c r="E56" s="17" t="s">
        <v>5</v>
      </c>
      <c r="F56" s="15" t="s">
        <v>217</v>
      </c>
      <c r="G56" s="15" t="s">
        <v>218</v>
      </c>
    </row>
    <row r="57" customFormat="false" ht="60" hidden="false" customHeight="true" outlineLevel="0" collapsed="false">
      <c r="A57" s="12" t="s">
        <v>13</v>
      </c>
      <c r="B57" s="12" t="s">
        <v>219</v>
      </c>
      <c r="C57" s="13" t="s">
        <v>61</v>
      </c>
      <c r="D57" s="13" t="s">
        <v>62</v>
      </c>
      <c r="E57" s="17" t="s">
        <v>5</v>
      </c>
      <c r="F57" s="15" t="s">
        <v>220</v>
      </c>
      <c r="G57" s="15" t="s">
        <v>221</v>
      </c>
    </row>
    <row r="58" customFormat="false" ht="60" hidden="false" customHeight="true" outlineLevel="0" collapsed="false">
      <c r="A58" s="12" t="s">
        <v>13</v>
      </c>
      <c r="B58" s="12" t="s">
        <v>222</v>
      </c>
      <c r="C58" s="13" t="s">
        <v>61</v>
      </c>
      <c r="D58" s="13" t="s">
        <v>82</v>
      </c>
      <c r="E58" s="16" t="s">
        <v>8</v>
      </c>
      <c r="F58" s="15" t="s">
        <v>223</v>
      </c>
      <c r="G58" s="15" t="s">
        <v>224</v>
      </c>
    </row>
    <row r="59" customFormat="false" ht="60" hidden="false" customHeight="true" outlineLevel="0" collapsed="false">
      <c r="A59" s="12" t="s">
        <v>13</v>
      </c>
      <c r="B59" s="12" t="s">
        <v>225</v>
      </c>
      <c r="C59" s="13" t="s">
        <v>61</v>
      </c>
      <c r="D59" s="13" t="s">
        <v>82</v>
      </c>
      <c r="E59" s="16" t="s">
        <v>8</v>
      </c>
      <c r="F59" s="15" t="s">
        <v>226</v>
      </c>
      <c r="G59" s="15" t="s">
        <v>227</v>
      </c>
    </row>
    <row r="60" customFormat="false" ht="60" hidden="false" customHeight="true" outlineLevel="0" collapsed="false">
      <c r="A60" s="12" t="s">
        <v>13</v>
      </c>
      <c r="B60" s="12" t="s">
        <v>228</v>
      </c>
      <c r="C60" s="13" t="s">
        <v>61</v>
      </c>
      <c r="D60" s="13" t="s">
        <v>138</v>
      </c>
      <c r="E60" s="19" t="s">
        <v>6</v>
      </c>
      <c r="F60" s="15" t="s">
        <v>229</v>
      </c>
      <c r="G60" s="15" t="s">
        <v>230</v>
      </c>
    </row>
    <row r="61" customFormat="false" ht="60" hidden="false" customHeight="true" outlineLevel="0" collapsed="false">
      <c r="A61" s="12" t="s">
        <v>13</v>
      </c>
      <c r="B61" s="12" t="s">
        <v>231</v>
      </c>
      <c r="C61" s="13" t="s">
        <v>98</v>
      </c>
      <c r="D61" s="13" t="s">
        <v>99</v>
      </c>
      <c r="E61" s="17" t="s">
        <v>5</v>
      </c>
      <c r="F61" s="15" t="s">
        <v>232</v>
      </c>
      <c r="G61" s="15" t="s">
        <v>233</v>
      </c>
    </row>
    <row r="62" customFormat="false" ht="60" hidden="false" customHeight="true" outlineLevel="0" collapsed="false">
      <c r="A62" s="12" t="s">
        <v>13</v>
      </c>
      <c r="B62" s="12" t="s">
        <v>37</v>
      </c>
      <c r="C62" s="13" t="s">
        <v>98</v>
      </c>
      <c r="D62" s="13" t="s">
        <v>99</v>
      </c>
      <c r="E62" s="16" t="s">
        <v>8</v>
      </c>
      <c r="F62" s="15" t="s">
        <v>234</v>
      </c>
      <c r="G62" s="15" t="s">
        <v>38</v>
      </c>
    </row>
    <row r="63" customFormat="false" ht="60" hidden="false" customHeight="true" outlineLevel="0" collapsed="false">
      <c r="A63" s="12" t="s">
        <v>13</v>
      </c>
      <c r="B63" s="12" t="s">
        <v>235</v>
      </c>
      <c r="C63" s="13" t="s">
        <v>98</v>
      </c>
      <c r="D63" s="13" t="s">
        <v>99</v>
      </c>
      <c r="E63" s="16" t="s">
        <v>8</v>
      </c>
      <c r="F63" s="15" t="s">
        <v>236</v>
      </c>
      <c r="G63" s="15" t="s">
        <v>237</v>
      </c>
    </row>
    <row r="64" customFormat="false" ht="60" hidden="false" customHeight="true" outlineLevel="0" collapsed="false">
      <c r="A64" s="12" t="s">
        <v>13</v>
      </c>
      <c r="B64" s="12" t="s">
        <v>238</v>
      </c>
      <c r="C64" s="13" t="s">
        <v>98</v>
      </c>
      <c r="D64" s="13" t="s">
        <v>99</v>
      </c>
      <c r="E64" s="16" t="s">
        <v>8</v>
      </c>
      <c r="F64" s="15" t="s">
        <v>239</v>
      </c>
      <c r="G64" s="15" t="s">
        <v>240</v>
      </c>
    </row>
    <row r="65" customFormat="false" ht="60" hidden="false" customHeight="true" outlineLevel="0" collapsed="false">
      <c r="A65" s="12" t="s">
        <v>14</v>
      </c>
      <c r="B65" s="12" t="s">
        <v>29</v>
      </c>
      <c r="C65" s="13" t="s">
        <v>61</v>
      </c>
      <c r="D65" s="13" t="s">
        <v>62</v>
      </c>
      <c r="E65" s="16" t="s">
        <v>8</v>
      </c>
      <c r="F65" s="15" t="s">
        <v>241</v>
      </c>
      <c r="G65" s="15" t="s">
        <v>30</v>
      </c>
    </row>
    <row r="66" customFormat="false" ht="60" hidden="false" customHeight="true" outlineLevel="0" collapsed="false">
      <c r="A66" s="12" t="s">
        <v>14</v>
      </c>
      <c r="B66" s="12" t="s">
        <v>242</v>
      </c>
      <c r="C66" s="13" t="s">
        <v>61</v>
      </c>
      <c r="D66" s="13" t="s">
        <v>62</v>
      </c>
      <c r="E66" s="19" t="s">
        <v>6</v>
      </c>
      <c r="F66" s="15" t="s">
        <v>243</v>
      </c>
      <c r="G66" s="15" t="s">
        <v>244</v>
      </c>
    </row>
    <row r="67" customFormat="false" ht="60" hidden="false" customHeight="true" outlineLevel="0" collapsed="false">
      <c r="A67" s="12" t="s">
        <v>14</v>
      </c>
      <c r="B67" s="12" t="s">
        <v>245</v>
      </c>
      <c r="C67" s="13" t="s">
        <v>61</v>
      </c>
      <c r="D67" s="13" t="s">
        <v>62</v>
      </c>
      <c r="E67" s="17" t="s">
        <v>5</v>
      </c>
      <c r="F67" s="15" t="s">
        <v>246</v>
      </c>
      <c r="G67" s="15" t="s">
        <v>247</v>
      </c>
    </row>
    <row r="68" customFormat="false" ht="60" hidden="false" customHeight="true" outlineLevel="0" collapsed="false">
      <c r="A68" s="12" t="s">
        <v>14</v>
      </c>
      <c r="B68" s="12" t="s">
        <v>248</v>
      </c>
      <c r="C68" s="13" t="s">
        <v>61</v>
      </c>
      <c r="D68" s="13" t="s">
        <v>62</v>
      </c>
      <c r="E68" s="16" t="s">
        <v>8</v>
      </c>
      <c r="F68" s="15" t="s">
        <v>249</v>
      </c>
      <c r="G68" s="15" t="s">
        <v>250</v>
      </c>
    </row>
    <row r="69" customFormat="false" ht="60" hidden="false" customHeight="true" outlineLevel="0" collapsed="false">
      <c r="A69" s="12" t="s">
        <v>14</v>
      </c>
      <c r="B69" s="12" t="s">
        <v>251</v>
      </c>
      <c r="C69" s="13" t="s">
        <v>61</v>
      </c>
      <c r="D69" s="13" t="s">
        <v>62</v>
      </c>
      <c r="E69" s="16" t="s">
        <v>8</v>
      </c>
      <c r="F69" s="15" t="s">
        <v>252</v>
      </c>
      <c r="G69" s="15" t="s">
        <v>253</v>
      </c>
    </row>
    <row r="70" customFormat="false" ht="60" hidden="false" customHeight="true" outlineLevel="0" collapsed="false">
      <c r="A70" s="12" t="s">
        <v>14</v>
      </c>
      <c r="B70" s="12" t="s">
        <v>254</v>
      </c>
      <c r="C70" s="13" t="s">
        <v>61</v>
      </c>
      <c r="D70" s="13" t="s">
        <v>62</v>
      </c>
      <c r="E70" s="14" t="s">
        <v>4</v>
      </c>
      <c r="F70" s="15" t="s">
        <v>255</v>
      </c>
      <c r="G70" s="15" t="s">
        <v>256</v>
      </c>
    </row>
    <row r="71" customFormat="false" ht="60" hidden="false" customHeight="true" outlineLevel="0" collapsed="false">
      <c r="A71" s="12" t="s">
        <v>14</v>
      </c>
      <c r="B71" s="12" t="s">
        <v>257</v>
      </c>
      <c r="C71" s="13" t="s">
        <v>61</v>
      </c>
      <c r="D71" s="13" t="s">
        <v>62</v>
      </c>
      <c r="E71" s="17" t="s">
        <v>5</v>
      </c>
      <c r="F71" s="15" t="s">
        <v>258</v>
      </c>
      <c r="G71" s="15" t="s">
        <v>259</v>
      </c>
    </row>
    <row r="72" customFormat="false" ht="60" hidden="false" customHeight="true" outlineLevel="0" collapsed="false">
      <c r="A72" s="12" t="s">
        <v>14</v>
      </c>
      <c r="B72" s="12" t="s">
        <v>260</v>
      </c>
      <c r="C72" s="13" t="s">
        <v>61</v>
      </c>
      <c r="D72" s="13" t="s">
        <v>62</v>
      </c>
      <c r="E72" s="19" t="s">
        <v>6</v>
      </c>
      <c r="F72" s="15" t="s">
        <v>261</v>
      </c>
      <c r="G72" s="15" t="s">
        <v>262</v>
      </c>
    </row>
    <row r="73" customFormat="false" ht="60" hidden="false" customHeight="true" outlineLevel="0" collapsed="false">
      <c r="A73" s="12" t="s">
        <v>14</v>
      </c>
      <c r="B73" s="12" t="s">
        <v>263</v>
      </c>
      <c r="C73" s="13" t="s">
        <v>61</v>
      </c>
      <c r="D73" s="13" t="s">
        <v>82</v>
      </c>
      <c r="E73" s="17" t="s">
        <v>5</v>
      </c>
      <c r="F73" s="15" t="s">
        <v>264</v>
      </c>
      <c r="G73" s="15" t="s">
        <v>265</v>
      </c>
    </row>
    <row r="74" customFormat="false" ht="60" hidden="false" customHeight="true" outlineLevel="0" collapsed="false">
      <c r="A74" s="12" t="s">
        <v>14</v>
      </c>
      <c r="B74" s="12" t="s">
        <v>266</v>
      </c>
      <c r="C74" s="13" t="s">
        <v>61</v>
      </c>
      <c r="D74" s="13" t="s">
        <v>138</v>
      </c>
      <c r="E74" s="19" t="s">
        <v>6</v>
      </c>
      <c r="F74" s="15" t="s">
        <v>267</v>
      </c>
      <c r="G74" s="15" t="s">
        <v>268</v>
      </c>
    </row>
    <row r="75" customFormat="false" ht="60" hidden="false" customHeight="true" outlineLevel="0" collapsed="false">
      <c r="A75" s="12" t="s">
        <v>14</v>
      </c>
      <c r="B75" s="12" t="s">
        <v>269</v>
      </c>
      <c r="C75" s="13" t="s">
        <v>61</v>
      </c>
      <c r="D75" s="13" t="s">
        <v>94</v>
      </c>
      <c r="E75" s="18" t="s">
        <v>7</v>
      </c>
      <c r="F75" s="15" t="s">
        <v>270</v>
      </c>
      <c r="G75" s="15" t="s">
        <v>271</v>
      </c>
    </row>
    <row r="76" customFormat="false" ht="60" hidden="false" customHeight="true" outlineLevel="0" collapsed="false">
      <c r="A76" s="12" t="s">
        <v>14</v>
      </c>
      <c r="B76" s="12" t="s">
        <v>272</v>
      </c>
      <c r="C76" s="13" t="s">
        <v>98</v>
      </c>
      <c r="D76" s="13" t="s">
        <v>99</v>
      </c>
      <c r="E76" s="16" t="s">
        <v>8</v>
      </c>
      <c r="F76" s="15" t="s">
        <v>273</v>
      </c>
      <c r="G76" s="15" t="s">
        <v>274</v>
      </c>
    </row>
    <row r="77" customFormat="false" ht="60" hidden="false" customHeight="true" outlineLevel="0" collapsed="false">
      <c r="A77" s="12" t="s">
        <v>14</v>
      </c>
      <c r="B77" s="12" t="s">
        <v>275</v>
      </c>
      <c r="C77" s="13" t="s">
        <v>98</v>
      </c>
      <c r="D77" s="13" t="s">
        <v>99</v>
      </c>
      <c r="E77" s="16" t="s">
        <v>8</v>
      </c>
      <c r="F77" s="15" t="s">
        <v>276</v>
      </c>
      <c r="G77" s="15" t="s">
        <v>277</v>
      </c>
    </row>
    <row r="78" customFormat="false" ht="60" hidden="false" customHeight="true" outlineLevel="0" collapsed="false">
      <c r="A78" s="12" t="s">
        <v>14</v>
      </c>
      <c r="B78" s="12" t="s">
        <v>278</v>
      </c>
      <c r="C78" s="13" t="s">
        <v>98</v>
      </c>
      <c r="D78" s="13" t="s">
        <v>99</v>
      </c>
      <c r="E78" s="16" t="s">
        <v>8</v>
      </c>
      <c r="F78" s="15" t="s">
        <v>279</v>
      </c>
      <c r="G78" s="15" t="s">
        <v>280</v>
      </c>
    </row>
    <row r="79" customFormat="false" ht="60" hidden="false" customHeight="true" outlineLevel="0" collapsed="false">
      <c r="A79" s="12" t="s">
        <v>15</v>
      </c>
      <c r="B79" s="12" t="s">
        <v>281</v>
      </c>
      <c r="C79" s="13" t="s">
        <v>61</v>
      </c>
      <c r="D79" s="13" t="s">
        <v>62</v>
      </c>
      <c r="E79" s="14" t="s">
        <v>4</v>
      </c>
      <c r="F79" s="15" t="s">
        <v>282</v>
      </c>
      <c r="G79" s="15" t="s">
        <v>283</v>
      </c>
    </row>
    <row r="80" customFormat="false" ht="60" hidden="false" customHeight="true" outlineLevel="0" collapsed="false">
      <c r="A80" s="12" t="s">
        <v>15</v>
      </c>
      <c r="B80" s="12" t="s">
        <v>284</v>
      </c>
      <c r="C80" s="13" t="s">
        <v>61</v>
      </c>
      <c r="D80" s="13" t="s">
        <v>62</v>
      </c>
      <c r="E80" s="17" t="s">
        <v>5</v>
      </c>
      <c r="F80" s="15" t="s">
        <v>285</v>
      </c>
      <c r="G80" s="15" t="s">
        <v>286</v>
      </c>
    </row>
    <row r="81" customFormat="false" ht="60" hidden="false" customHeight="true" outlineLevel="0" collapsed="false">
      <c r="A81" s="12" t="s">
        <v>15</v>
      </c>
      <c r="B81" s="12" t="s">
        <v>287</v>
      </c>
      <c r="C81" s="13" t="s">
        <v>61</v>
      </c>
      <c r="D81" s="13" t="s">
        <v>62</v>
      </c>
      <c r="E81" s="17" t="s">
        <v>5</v>
      </c>
      <c r="F81" s="15" t="s">
        <v>288</v>
      </c>
      <c r="G81" s="15" t="s">
        <v>289</v>
      </c>
    </row>
    <row r="82" customFormat="false" ht="60" hidden="false" customHeight="true" outlineLevel="0" collapsed="false">
      <c r="A82" s="12" t="s">
        <v>15</v>
      </c>
      <c r="B82" s="12" t="s">
        <v>290</v>
      </c>
      <c r="C82" s="13" t="s">
        <v>61</v>
      </c>
      <c r="D82" s="13" t="s">
        <v>62</v>
      </c>
      <c r="E82" s="14" t="s">
        <v>4</v>
      </c>
      <c r="F82" s="15" t="s">
        <v>291</v>
      </c>
      <c r="G82" s="15" t="s">
        <v>292</v>
      </c>
    </row>
    <row r="83" customFormat="false" ht="60" hidden="false" customHeight="true" outlineLevel="0" collapsed="false">
      <c r="A83" s="12" t="s">
        <v>15</v>
      </c>
      <c r="B83" s="12" t="s">
        <v>293</v>
      </c>
      <c r="C83" s="13" t="s">
        <v>61</v>
      </c>
      <c r="D83" s="13" t="s">
        <v>62</v>
      </c>
      <c r="E83" s="14" t="s">
        <v>4</v>
      </c>
      <c r="F83" s="15" t="s">
        <v>294</v>
      </c>
      <c r="G83" s="15" t="s">
        <v>295</v>
      </c>
    </row>
    <row r="84" customFormat="false" ht="60" hidden="false" customHeight="true" outlineLevel="0" collapsed="false">
      <c r="A84" s="12" t="s">
        <v>15</v>
      </c>
      <c r="B84" s="12" t="s">
        <v>296</v>
      </c>
      <c r="C84" s="13" t="s">
        <v>61</v>
      </c>
      <c r="D84" s="13" t="s">
        <v>62</v>
      </c>
      <c r="E84" s="14" t="s">
        <v>4</v>
      </c>
      <c r="F84" s="15" t="s">
        <v>297</v>
      </c>
      <c r="G84" s="15" t="s">
        <v>298</v>
      </c>
    </row>
    <row r="85" customFormat="false" ht="60" hidden="false" customHeight="true" outlineLevel="0" collapsed="false">
      <c r="A85" s="12" t="s">
        <v>15</v>
      </c>
      <c r="B85" s="12" t="s">
        <v>21</v>
      </c>
      <c r="C85" s="13" t="s">
        <v>61</v>
      </c>
      <c r="D85" s="13" t="s">
        <v>62</v>
      </c>
      <c r="E85" s="16" t="s">
        <v>8</v>
      </c>
      <c r="F85" s="15" t="s">
        <v>299</v>
      </c>
      <c r="G85" s="15" t="s">
        <v>22</v>
      </c>
    </row>
    <row r="86" customFormat="false" ht="60" hidden="false" customHeight="true" outlineLevel="0" collapsed="false">
      <c r="A86" s="12" t="s">
        <v>15</v>
      </c>
      <c r="B86" s="12" t="s">
        <v>45</v>
      </c>
      <c r="C86" s="13" t="s">
        <v>61</v>
      </c>
      <c r="D86" s="13" t="s">
        <v>62</v>
      </c>
      <c r="E86" s="16" t="s">
        <v>8</v>
      </c>
      <c r="F86" s="15" t="s">
        <v>300</v>
      </c>
      <c r="G86" s="15" t="s">
        <v>46</v>
      </c>
    </row>
    <row r="87" customFormat="false" ht="60" hidden="false" customHeight="true" outlineLevel="0" collapsed="false">
      <c r="A87" s="12" t="s">
        <v>15</v>
      </c>
      <c r="B87" s="12" t="s">
        <v>301</v>
      </c>
      <c r="C87" s="13" t="s">
        <v>61</v>
      </c>
      <c r="D87" s="13" t="s">
        <v>82</v>
      </c>
      <c r="E87" s="17" t="s">
        <v>5</v>
      </c>
      <c r="F87" s="15" t="s">
        <v>302</v>
      </c>
      <c r="G87" s="15" t="s">
        <v>303</v>
      </c>
    </row>
    <row r="88" customFormat="false" ht="60" hidden="false" customHeight="true" outlineLevel="0" collapsed="false">
      <c r="A88" s="12" t="s">
        <v>15</v>
      </c>
      <c r="B88" s="12" t="s">
        <v>304</v>
      </c>
      <c r="C88" s="13" t="s">
        <v>61</v>
      </c>
      <c r="D88" s="13" t="s">
        <v>82</v>
      </c>
      <c r="E88" s="17" t="s">
        <v>5</v>
      </c>
      <c r="F88" s="15" t="s">
        <v>305</v>
      </c>
      <c r="G88" s="15" t="s">
        <v>306</v>
      </c>
    </row>
    <row r="89" customFormat="false" ht="60" hidden="false" customHeight="true" outlineLevel="0" collapsed="false">
      <c r="A89" s="12" t="s">
        <v>15</v>
      </c>
      <c r="B89" s="12" t="s">
        <v>307</v>
      </c>
      <c r="C89" s="13" t="s">
        <v>61</v>
      </c>
      <c r="D89" s="13" t="s">
        <v>82</v>
      </c>
      <c r="E89" s="17" t="s">
        <v>5</v>
      </c>
      <c r="F89" s="15" t="s">
        <v>308</v>
      </c>
      <c r="G89" s="15" t="s">
        <v>309</v>
      </c>
    </row>
    <row r="90" customFormat="false" ht="60" hidden="false" customHeight="true" outlineLevel="0" collapsed="false">
      <c r="A90" s="12" t="s">
        <v>15</v>
      </c>
      <c r="B90" s="12" t="s">
        <v>310</v>
      </c>
      <c r="C90" s="13" t="s">
        <v>61</v>
      </c>
      <c r="D90" s="13" t="s">
        <v>138</v>
      </c>
      <c r="E90" s="19" t="s">
        <v>6</v>
      </c>
      <c r="F90" s="15" t="s">
        <v>311</v>
      </c>
      <c r="G90" s="15" t="s">
        <v>312</v>
      </c>
    </row>
    <row r="91" customFormat="false" ht="60" hidden="false" customHeight="true" outlineLevel="0" collapsed="false">
      <c r="A91" s="12" t="s">
        <v>15</v>
      </c>
      <c r="B91" s="12" t="s">
        <v>313</v>
      </c>
      <c r="C91" s="13" t="s">
        <v>61</v>
      </c>
      <c r="D91" s="13" t="s">
        <v>138</v>
      </c>
      <c r="E91" s="19" t="s">
        <v>6</v>
      </c>
      <c r="F91" s="15" t="s">
        <v>314</v>
      </c>
      <c r="G91" s="15" t="s">
        <v>315</v>
      </c>
    </row>
    <row r="92" customFormat="false" ht="60" hidden="false" customHeight="true" outlineLevel="0" collapsed="false">
      <c r="A92" s="12" t="s">
        <v>15</v>
      </c>
      <c r="B92" s="12" t="s">
        <v>316</v>
      </c>
      <c r="C92" s="13" t="s">
        <v>98</v>
      </c>
      <c r="D92" s="13" t="s">
        <v>99</v>
      </c>
      <c r="E92" s="17" t="s">
        <v>5</v>
      </c>
      <c r="F92" s="15" t="s">
        <v>317</v>
      </c>
      <c r="G92" s="15" t="s">
        <v>318</v>
      </c>
    </row>
    <row r="93" customFormat="false" ht="60" hidden="false" customHeight="true" outlineLevel="0" collapsed="false">
      <c r="A93" s="12" t="s">
        <v>15</v>
      </c>
      <c r="B93" s="12" t="s">
        <v>319</v>
      </c>
      <c r="C93" s="13" t="s">
        <v>98</v>
      </c>
      <c r="D93" s="13" t="s">
        <v>99</v>
      </c>
      <c r="E93" s="17" t="s">
        <v>5</v>
      </c>
      <c r="F93" s="15" t="s">
        <v>320</v>
      </c>
      <c r="G93" s="15" t="s">
        <v>321</v>
      </c>
    </row>
    <row r="94" customFormat="false" ht="60" hidden="false" customHeight="true" outlineLevel="0" collapsed="false">
      <c r="A94" s="12" t="s">
        <v>15</v>
      </c>
      <c r="B94" s="12" t="s">
        <v>322</v>
      </c>
      <c r="C94" s="13" t="s">
        <v>98</v>
      </c>
      <c r="D94" s="13" t="s">
        <v>99</v>
      </c>
      <c r="E94" s="17" t="s">
        <v>5</v>
      </c>
      <c r="F94" s="15" t="s">
        <v>323</v>
      </c>
      <c r="G94" s="15" t="s">
        <v>324</v>
      </c>
    </row>
    <row r="95" customFormat="false" ht="60" hidden="false" customHeight="true" outlineLevel="0" collapsed="false">
      <c r="A95" s="12" t="s">
        <v>15</v>
      </c>
      <c r="B95" s="12" t="s">
        <v>47</v>
      </c>
      <c r="C95" s="13" t="s">
        <v>98</v>
      </c>
      <c r="D95" s="13" t="s">
        <v>99</v>
      </c>
      <c r="E95" s="16" t="s">
        <v>8</v>
      </c>
      <c r="F95" s="15" t="s">
        <v>325</v>
      </c>
      <c r="G95" s="15" t="s">
        <v>48</v>
      </c>
    </row>
    <row r="96" customFormat="false" ht="60" hidden="false" customHeight="true" outlineLevel="0" collapsed="false">
      <c r="A96" s="12" t="s">
        <v>15</v>
      </c>
      <c r="B96" s="12" t="s">
        <v>326</v>
      </c>
      <c r="C96" s="13" t="s">
        <v>198</v>
      </c>
      <c r="D96" s="13" t="s">
        <v>99</v>
      </c>
      <c r="E96" s="16" t="s">
        <v>8</v>
      </c>
      <c r="F96" s="15" t="s">
        <v>327</v>
      </c>
      <c r="G96" s="15" t="s">
        <v>328</v>
      </c>
    </row>
    <row r="97" customFormat="false" ht="60" hidden="false" customHeight="true" outlineLevel="0" collapsed="false">
      <c r="A97" s="12" t="s">
        <v>16</v>
      </c>
      <c r="B97" s="12" t="s">
        <v>329</v>
      </c>
      <c r="C97" s="13" t="s">
        <v>61</v>
      </c>
      <c r="D97" s="13" t="s">
        <v>62</v>
      </c>
      <c r="E97" s="16" t="s">
        <v>8</v>
      </c>
      <c r="F97" s="15" t="s">
        <v>330</v>
      </c>
      <c r="G97" s="15" t="s">
        <v>331</v>
      </c>
    </row>
    <row r="98" customFormat="false" ht="60" hidden="false" customHeight="true" outlineLevel="0" collapsed="false">
      <c r="A98" s="12" t="s">
        <v>16</v>
      </c>
      <c r="B98" s="12" t="s">
        <v>332</v>
      </c>
      <c r="C98" s="13" t="s">
        <v>61</v>
      </c>
      <c r="D98" s="13" t="s">
        <v>62</v>
      </c>
      <c r="E98" s="17" t="s">
        <v>5</v>
      </c>
      <c r="F98" s="15" t="s">
        <v>333</v>
      </c>
      <c r="G98" s="15" t="s">
        <v>334</v>
      </c>
    </row>
    <row r="99" customFormat="false" ht="60" hidden="false" customHeight="true" outlineLevel="0" collapsed="false">
      <c r="A99" s="12" t="s">
        <v>16</v>
      </c>
      <c r="B99" s="12" t="s">
        <v>335</v>
      </c>
      <c r="C99" s="13" t="s">
        <v>61</v>
      </c>
      <c r="D99" s="13" t="s">
        <v>62</v>
      </c>
      <c r="E99" s="17" t="s">
        <v>5</v>
      </c>
      <c r="F99" s="15" t="s">
        <v>336</v>
      </c>
      <c r="G99" s="15" t="s">
        <v>337</v>
      </c>
    </row>
    <row r="100" customFormat="false" ht="60" hidden="false" customHeight="true" outlineLevel="0" collapsed="false">
      <c r="A100" s="12" t="s">
        <v>16</v>
      </c>
      <c r="B100" s="12" t="s">
        <v>49</v>
      </c>
      <c r="C100" s="13" t="s">
        <v>61</v>
      </c>
      <c r="D100" s="13" t="s">
        <v>62</v>
      </c>
      <c r="E100" s="16" t="s">
        <v>8</v>
      </c>
      <c r="F100" s="15" t="s">
        <v>338</v>
      </c>
      <c r="G100" s="15" t="s">
        <v>50</v>
      </c>
    </row>
    <row r="101" customFormat="false" ht="60" hidden="false" customHeight="true" outlineLevel="0" collapsed="false">
      <c r="A101" s="12" t="s">
        <v>16</v>
      </c>
      <c r="B101" s="12" t="s">
        <v>339</v>
      </c>
      <c r="C101" s="13" t="s">
        <v>61</v>
      </c>
      <c r="D101" s="13" t="s">
        <v>62</v>
      </c>
      <c r="E101" s="16" t="s">
        <v>8</v>
      </c>
      <c r="F101" s="15" t="s">
        <v>340</v>
      </c>
      <c r="G101" s="15" t="s">
        <v>341</v>
      </c>
    </row>
    <row r="102" customFormat="false" ht="60" hidden="false" customHeight="true" outlineLevel="0" collapsed="false">
      <c r="A102" s="12" t="s">
        <v>16</v>
      </c>
      <c r="B102" s="12" t="s">
        <v>342</v>
      </c>
      <c r="C102" s="13" t="s">
        <v>61</v>
      </c>
      <c r="D102" s="13" t="s">
        <v>62</v>
      </c>
      <c r="E102" s="17" t="s">
        <v>5</v>
      </c>
      <c r="F102" s="15" t="s">
        <v>343</v>
      </c>
      <c r="G102" s="15" t="s">
        <v>344</v>
      </c>
    </row>
    <row r="103" customFormat="false" ht="60" hidden="false" customHeight="true" outlineLevel="0" collapsed="false">
      <c r="A103" s="12" t="s">
        <v>16</v>
      </c>
      <c r="B103" s="12" t="s">
        <v>345</v>
      </c>
      <c r="C103" s="13" t="s">
        <v>61</v>
      </c>
      <c r="D103" s="13" t="s">
        <v>62</v>
      </c>
      <c r="E103" s="14" t="s">
        <v>4</v>
      </c>
      <c r="F103" s="15" t="s">
        <v>346</v>
      </c>
      <c r="G103" s="15" t="s">
        <v>347</v>
      </c>
    </row>
    <row r="104" customFormat="false" ht="60" hidden="false" customHeight="true" outlineLevel="0" collapsed="false">
      <c r="A104" s="12" t="s">
        <v>16</v>
      </c>
      <c r="B104" s="12" t="s">
        <v>348</v>
      </c>
      <c r="C104" s="13" t="s">
        <v>61</v>
      </c>
      <c r="D104" s="13" t="s">
        <v>62</v>
      </c>
      <c r="E104" s="19" t="s">
        <v>6</v>
      </c>
      <c r="F104" s="15" t="s">
        <v>349</v>
      </c>
      <c r="G104" s="15" t="s">
        <v>350</v>
      </c>
    </row>
    <row r="105" customFormat="false" ht="60" hidden="false" customHeight="true" outlineLevel="0" collapsed="false">
      <c r="A105" s="12" t="s">
        <v>16</v>
      </c>
      <c r="B105" s="12" t="s">
        <v>351</v>
      </c>
      <c r="C105" s="13" t="s">
        <v>61</v>
      </c>
      <c r="D105" s="13" t="s">
        <v>82</v>
      </c>
      <c r="E105" s="16" t="s">
        <v>8</v>
      </c>
      <c r="F105" s="15" t="s">
        <v>352</v>
      </c>
      <c r="G105" s="15" t="s">
        <v>353</v>
      </c>
    </row>
    <row r="106" customFormat="false" ht="60" hidden="false" customHeight="true" outlineLevel="0" collapsed="false">
      <c r="A106" s="12" t="s">
        <v>16</v>
      </c>
      <c r="B106" s="12" t="s">
        <v>354</v>
      </c>
      <c r="C106" s="13" t="s">
        <v>61</v>
      </c>
      <c r="D106" s="13" t="s">
        <v>82</v>
      </c>
      <c r="E106" s="19" t="s">
        <v>6</v>
      </c>
      <c r="F106" s="15" t="s">
        <v>355</v>
      </c>
      <c r="G106" s="15" t="s">
        <v>356</v>
      </c>
    </row>
    <row r="107" customFormat="false" ht="60" hidden="false" customHeight="true" outlineLevel="0" collapsed="false">
      <c r="A107" s="12" t="s">
        <v>16</v>
      </c>
      <c r="B107" s="12" t="s">
        <v>357</v>
      </c>
      <c r="C107" s="13" t="s">
        <v>61</v>
      </c>
      <c r="D107" s="13" t="s">
        <v>82</v>
      </c>
      <c r="E107" s="14" t="s">
        <v>4</v>
      </c>
      <c r="F107" s="15" t="s">
        <v>358</v>
      </c>
      <c r="G107" s="15" t="s">
        <v>359</v>
      </c>
    </row>
    <row r="108" customFormat="false" ht="60" hidden="false" customHeight="true" outlineLevel="0" collapsed="false">
      <c r="A108" s="12" t="s">
        <v>16</v>
      </c>
      <c r="B108" s="12" t="s">
        <v>360</v>
      </c>
      <c r="C108" s="13" t="s">
        <v>98</v>
      </c>
      <c r="D108" s="13" t="s">
        <v>99</v>
      </c>
      <c r="E108" s="16" t="s">
        <v>8</v>
      </c>
      <c r="F108" s="15" t="s">
        <v>361</v>
      </c>
      <c r="G108" s="15" t="s">
        <v>362</v>
      </c>
    </row>
    <row r="109" customFormat="false" ht="60" hidden="false" customHeight="true" outlineLevel="0" collapsed="false">
      <c r="A109" s="12" t="s">
        <v>16</v>
      </c>
      <c r="B109" s="12" t="s">
        <v>363</v>
      </c>
      <c r="C109" s="13" t="s">
        <v>98</v>
      </c>
      <c r="D109" s="13" t="s">
        <v>99</v>
      </c>
      <c r="E109" s="16" t="s">
        <v>8</v>
      </c>
      <c r="F109" s="15" t="s">
        <v>364</v>
      </c>
      <c r="G109" s="15" t="s">
        <v>365</v>
      </c>
    </row>
    <row r="110" customFormat="false" ht="60" hidden="false" customHeight="true" outlineLevel="0" collapsed="false">
      <c r="A110" s="12" t="s">
        <v>16</v>
      </c>
      <c r="B110" s="12" t="s">
        <v>366</v>
      </c>
      <c r="C110" s="13" t="s">
        <v>98</v>
      </c>
      <c r="D110" s="13" t="s">
        <v>99</v>
      </c>
      <c r="E110" s="16" t="s">
        <v>8</v>
      </c>
      <c r="F110" s="15" t="s">
        <v>367</v>
      </c>
      <c r="G110" s="15" t="s">
        <v>368</v>
      </c>
    </row>
    <row r="111" customFormat="false" ht="60" hidden="false" customHeight="true" outlineLevel="0" collapsed="false">
      <c r="A111" s="12" t="s">
        <v>17</v>
      </c>
      <c r="B111" s="12" t="s">
        <v>369</v>
      </c>
      <c r="C111" s="13" t="s">
        <v>61</v>
      </c>
      <c r="D111" s="13" t="s">
        <v>62</v>
      </c>
      <c r="E111" s="17" t="s">
        <v>5</v>
      </c>
      <c r="F111" s="15" t="s">
        <v>370</v>
      </c>
      <c r="G111" s="15" t="s">
        <v>371</v>
      </c>
    </row>
    <row r="112" customFormat="false" ht="60" hidden="false" customHeight="true" outlineLevel="0" collapsed="false">
      <c r="A112" s="12" t="s">
        <v>17</v>
      </c>
      <c r="B112" s="12" t="s">
        <v>372</v>
      </c>
      <c r="C112" s="13" t="s">
        <v>61</v>
      </c>
      <c r="D112" s="13" t="s">
        <v>62</v>
      </c>
      <c r="E112" s="17" t="s">
        <v>5</v>
      </c>
      <c r="F112" s="15" t="s">
        <v>373</v>
      </c>
      <c r="G112" s="15" t="s">
        <v>374</v>
      </c>
    </row>
    <row r="113" customFormat="false" ht="60" hidden="false" customHeight="true" outlineLevel="0" collapsed="false">
      <c r="A113" s="12" t="s">
        <v>17</v>
      </c>
      <c r="B113" s="12" t="s">
        <v>375</v>
      </c>
      <c r="C113" s="13" t="s">
        <v>61</v>
      </c>
      <c r="D113" s="13" t="s">
        <v>62</v>
      </c>
      <c r="E113" s="17" t="s">
        <v>5</v>
      </c>
      <c r="F113" s="15" t="s">
        <v>376</v>
      </c>
      <c r="G113" s="15" t="s">
        <v>377</v>
      </c>
    </row>
    <row r="114" customFormat="false" ht="60" hidden="false" customHeight="true" outlineLevel="0" collapsed="false">
      <c r="A114" s="12" t="s">
        <v>17</v>
      </c>
      <c r="B114" s="12" t="s">
        <v>378</v>
      </c>
      <c r="C114" s="13" t="s">
        <v>61</v>
      </c>
      <c r="D114" s="13" t="s">
        <v>62</v>
      </c>
      <c r="E114" s="19" t="s">
        <v>6</v>
      </c>
      <c r="F114" s="15" t="s">
        <v>379</v>
      </c>
      <c r="G114" s="15" t="s">
        <v>380</v>
      </c>
    </row>
    <row r="115" customFormat="false" ht="60" hidden="false" customHeight="true" outlineLevel="0" collapsed="false">
      <c r="A115" s="12" t="s">
        <v>17</v>
      </c>
      <c r="B115" s="12" t="s">
        <v>381</v>
      </c>
      <c r="C115" s="13" t="s">
        <v>61</v>
      </c>
      <c r="D115" s="13" t="s">
        <v>62</v>
      </c>
      <c r="E115" s="16" t="s">
        <v>8</v>
      </c>
      <c r="F115" s="15" t="s">
        <v>382</v>
      </c>
      <c r="G115" s="15" t="s">
        <v>383</v>
      </c>
    </row>
    <row r="116" customFormat="false" ht="60" hidden="false" customHeight="true" outlineLevel="0" collapsed="false">
      <c r="A116" s="12" t="s">
        <v>17</v>
      </c>
      <c r="B116" s="12" t="s">
        <v>31</v>
      </c>
      <c r="C116" s="13" t="s">
        <v>61</v>
      </c>
      <c r="D116" s="13" t="s">
        <v>62</v>
      </c>
      <c r="E116" s="16" t="s">
        <v>8</v>
      </c>
      <c r="F116" s="15" t="s">
        <v>384</v>
      </c>
      <c r="G116" s="15" t="s">
        <v>32</v>
      </c>
    </row>
    <row r="117" customFormat="false" ht="60" hidden="false" customHeight="true" outlineLevel="0" collapsed="false">
      <c r="A117" s="12" t="s">
        <v>17</v>
      </c>
      <c r="B117" s="12" t="s">
        <v>385</v>
      </c>
      <c r="C117" s="13" t="s">
        <v>61</v>
      </c>
      <c r="D117" s="13" t="s">
        <v>82</v>
      </c>
      <c r="E117" s="19" t="s">
        <v>6</v>
      </c>
      <c r="F117" s="15" t="s">
        <v>386</v>
      </c>
      <c r="G117" s="15" t="s">
        <v>387</v>
      </c>
    </row>
    <row r="118" customFormat="false" ht="60" hidden="false" customHeight="true" outlineLevel="0" collapsed="false">
      <c r="A118" s="12" t="s">
        <v>17</v>
      </c>
      <c r="B118" s="12" t="s">
        <v>388</v>
      </c>
      <c r="C118" s="13" t="s">
        <v>61</v>
      </c>
      <c r="D118" s="13" t="s">
        <v>82</v>
      </c>
      <c r="E118" s="19" t="s">
        <v>6</v>
      </c>
      <c r="F118" s="15" t="s">
        <v>389</v>
      </c>
      <c r="G118" s="15" t="s">
        <v>390</v>
      </c>
    </row>
    <row r="119" customFormat="false" ht="60" hidden="false" customHeight="true" outlineLevel="0" collapsed="false">
      <c r="A119" s="12" t="s">
        <v>17</v>
      </c>
      <c r="B119" s="12" t="s">
        <v>391</v>
      </c>
      <c r="C119" s="13" t="s">
        <v>61</v>
      </c>
      <c r="D119" s="13" t="s">
        <v>82</v>
      </c>
      <c r="E119" s="19" t="s">
        <v>6</v>
      </c>
      <c r="F119" s="15" t="s">
        <v>392</v>
      </c>
      <c r="G119" s="15" t="s">
        <v>393</v>
      </c>
    </row>
    <row r="120" customFormat="false" ht="60" hidden="false" customHeight="true" outlineLevel="0" collapsed="false">
      <c r="A120" s="12" t="s">
        <v>17</v>
      </c>
      <c r="B120" s="12" t="s">
        <v>394</v>
      </c>
      <c r="C120" s="13" t="s">
        <v>61</v>
      </c>
      <c r="D120" s="13" t="s">
        <v>94</v>
      </c>
      <c r="E120" s="18" t="s">
        <v>7</v>
      </c>
      <c r="F120" s="15" t="s">
        <v>395</v>
      </c>
      <c r="G120" s="15" t="s">
        <v>396</v>
      </c>
    </row>
    <row r="121" customFormat="false" ht="60" hidden="false" customHeight="true" outlineLevel="0" collapsed="false">
      <c r="A121" s="12" t="s">
        <v>17</v>
      </c>
      <c r="B121" s="12" t="s">
        <v>397</v>
      </c>
      <c r="C121" s="13" t="s">
        <v>98</v>
      </c>
      <c r="D121" s="13" t="s">
        <v>99</v>
      </c>
      <c r="E121" s="17" t="s">
        <v>5</v>
      </c>
      <c r="F121" s="15" t="s">
        <v>398</v>
      </c>
      <c r="G121" s="15" t="s">
        <v>399</v>
      </c>
    </row>
    <row r="122" customFormat="false" ht="60" hidden="false" customHeight="true" outlineLevel="0" collapsed="false">
      <c r="A122" s="12" t="s">
        <v>17</v>
      </c>
      <c r="B122" s="12" t="s">
        <v>400</v>
      </c>
      <c r="C122" s="13" t="s">
        <v>98</v>
      </c>
      <c r="D122" s="13" t="s">
        <v>99</v>
      </c>
      <c r="E122" s="17" t="s">
        <v>5</v>
      </c>
      <c r="F122" s="15" t="s">
        <v>401</v>
      </c>
      <c r="G122" s="15" t="s">
        <v>402</v>
      </c>
    </row>
    <row r="123" customFormat="false" ht="60" hidden="false" customHeight="true" outlineLevel="0" collapsed="false">
      <c r="A123" s="12" t="s">
        <v>17</v>
      </c>
      <c r="B123" s="12" t="s">
        <v>403</v>
      </c>
      <c r="C123" s="13" t="s">
        <v>98</v>
      </c>
      <c r="D123" s="13" t="s">
        <v>99</v>
      </c>
      <c r="E123" s="14" t="s">
        <v>4</v>
      </c>
      <c r="F123" s="15" t="s">
        <v>404</v>
      </c>
      <c r="G123" s="15" t="s">
        <v>405</v>
      </c>
    </row>
    <row r="124" customFormat="false" ht="60" hidden="false" customHeight="true" outlineLevel="0" collapsed="false">
      <c r="A124" s="12" t="s">
        <v>18</v>
      </c>
      <c r="B124" s="12" t="s">
        <v>406</v>
      </c>
      <c r="C124" s="13" t="s">
        <v>61</v>
      </c>
      <c r="D124" s="13" t="s">
        <v>62</v>
      </c>
      <c r="E124" s="17" t="s">
        <v>5</v>
      </c>
      <c r="F124" s="15" t="s">
        <v>407</v>
      </c>
      <c r="G124" s="15" t="s">
        <v>408</v>
      </c>
    </row>
    <row r="125" customFormat="false" ht="60" hidden="false" customHeight="true" outlineLevel="0" collapsed="false">
      <c r="A125" s="12" t="s">
        <v>18</v>
      </c>
      <c r="B125" s="12" t="s">
        <v>409</v>
      </c>
      <c r="C125" s="13" t="s">
        <v>61</v>
      </c>
      <c r="D125" s="13" t="s">
        <v>62</v>
      </c>
      <c r="E125" s="17" t="s">
        <v>5</v>
      </c>
      <c r="F125" s="15" t="s">
        <v>410</v>
      </c>
      <c r="G125" s="15" t="s">
        <v>411</v>
      </c>
    </row>
    <row r="126" customFormat="false" ht="60" hidden="false" customHeight="true" outlineLevel="0" collapsed="false">
      <c r="A126" s="12" t="s">
        <v>18</v>
      </c>
      <c r="B126" s="12" t="s">
        <v>412</v>
      </c>
      <c r="C126" s="13" t="s">
        <v>61</v>
      </c>
      <c r="D126" s="13" t="s">
        <v>62</v>
      </c>
      <c r="E126" s="17" t="s">
        <v>5</v>
      </c>
      <c r="F126" s="15" t="s">
        <v>413</v>
      </c>
      <c r="G126" s="15" t="s">
        <v>414</v>
      </c>
    </row>
    <row r="127" customFormat="false" ht="60" hidden="false" customHeight="true" outlineLevel="0" collapsed="false">
      <c r="A127" s="12" t="s">
        <v>18</v>
      </c>
      <c r="B127" s="12" t="s">
        <v>415</v>
      </c>
      <c r="C127" s="13" t="s">
        <v>61</v>
      </c>
      <c r="D127" s="13" t="s">
        <v>62</v>
      </c>
      <c r="E127" s="17" t="s">
        <v>5</v>
      </c>
      <c r="F127" s="15" t="s">
        <v>416</v>
      </c>
      <c r="G127" s="15" t="s">
        <v>417</v>
      </c>
    </row>
    <row r="128" customFormat="false" ht="60" hidden="false" customHeight="true" outlineLevel="0" collapsed="false">
      <c r="A128" s="12" t="s">
        <v>18</v>
      </c>
      <c r="B128" s="12" t="s">
        <v>418</v>
      </c>
      <c r="C128" s="13" t="s">
        <v>61</v>
      </c>
      <c r="D128" s="13" t="s">
        <v>62</v>
      </c>
      <c r="E128" s="17" t="s">
        <v>5</v>
      </c>
      <c r="F128" s="15" t="s">
        <v>419</v>
      </c>
      <c r="G128" s="15" t="s">
        <v>420</v>
      </c>
    </row>
    <row r="129" customFormat="false" ht="60" hidden="false" customHeight="true" outlineLevel="0" collapsed="false">
      <c r="A129" s="12" t="s">
        <v>18</v>
      </c>
      <c r="B129" s="12" t="s">
        <v>421</v>
      </c>
      <c r="C129" s="13" t="s">
        <v>61</v>
      </c>
      <c r="D129" s="13" t="s">
        <v>62</v>
      </c>
      <c r="E129" s="17" t="s">
        <v>5</v>
      </c>
      <c r="F129" s="15" t="s">
        <v>422</v>
      </c>
      <c r="G129" s="15" t="s">
        <v>423</v>
      </c>
    </row>
    <row r="130" customFormat="false" ht="60" hidden="false" customHeight="true" outlineLevel="0" collapsed="false">
      <c r="A130" s="12" t="s">
        <v>18</v>
      </c>
      <c r="B130" s="12" t="s">
        <v>424</v>
      </c>
      <c r="C130" s="13" t="s">
        <v>61</v>
      </c>
      <c r="D130" s="13" t="s">
        <v>82</v>
      </c>
      <c r="E130" s="19" t="s">
        <v>6</v>
      </c>
      <c r="F130" s="15" t="s">
        <v>425</v>
      </c>
      <c r="G130" s="15" t="s">
        <v>426</v>
      </c>
    </row>
    <row r="131" customFormat="false" ht="60" hidden="false" customHeight="true" outlineLevel="0" collapsed="false">
      <c r="A131" s="12" t="s">
        <v>18</v>
      </c>
      <c r="B131" s="12" t="s">
        <v>427</v>
      </c>
      <c r="C131" s="13" t="s">
        <v>61</v>
      </c>
      <c r="D131" s="13" t="s">
        <v>82</v>
      </c>
      <c r="E131" s="14" t="s">
        <v>4</v>
      </c>
      <c r="F131" s="15" t="s">
        <v>428</v>
      </c>
      <c r="G131" s="15" t="s">
        <v>429</v>
      </c>
    </row>
    <row r="132" customFormat="false" ht="60" hidden="false" customHeight="true" outlineLevel="0" collapsed="false">
      <c r="A132" s="12" t="s">
        <v>18</v>
      </c>
      <c r="B132" s="12" t="s">
        <v>430</v>
      </c>
      <c r="C132" s="13" t="s">
        <v>61</v>
      </c>
      <c r="D132" s="13" t="s">
        <v>82</v>
      </c>
      <c r="E132" s="14" t="s">
        <v>4</v>
      </c>
      <c r="F132" s="15" t="s">
        <v>431</v>
      </c>
      <c r="G132" s="15" t="s">
        <v>432</v>
      </c>
    </row>
    <row r="133" customFormat="false" ht="60" hidden="false" customHeight="true" outlineLevel="0" collapsed="false">
      <c r="A133" s="12" t="s">
        <v>18</v>
      </c>
      <c r="B133" s="12" t="s">
        <v>433</v>
      </c>
      <c r="C133" s="13" t="s">
        <v>61</v>
      </c>
      <c r="D133" s="13" t="s">
        <v>138</v>
      </c>
      <c r="E133" s="19" t="s">
        <v>6</v>
      </c>
      <c r="F133" s="15" t="s">
        <v>434</v>
      </c>
      <c r="G133" s="15" t="s">
        <v>435</v>
      </c>
    </row>
    <row r="134" customFormat="false" ht="60" hidden="false" customHeight="true" outlineLevel="0" collapsed="false">
      <c r="A134" s="12" t="s">
        <v>18</v>
      </c>
      <c r="B134" s="12" t="s">
        <v>436</v>
      </c>
      <c r="C134" s="13" t="s">
        <v>98</v>
      </c>
      <c r="D134" s="13" t="s">
        <v>99</v>
      </c>
      <c r="E134" s="17" t="s">
        <v>5</v>
      </c>
      <c r="F134" s="15" t="s">
        <v>437</v>
      </c>
      <c r="G134" s="15" t="s">
        <v>438</v>
      </c>
    </row>
    <row r="135" customFormat="false" ht="60" hidden="false" customHeight="true" outlineLevel="0" collapsed="false">
      <c r="A135" s="12" t="s">
        <v>18</v>
      </c>
      <c r="B135" s="12" t="s">
        <v>41</v>
      </c>
      <c r="C135" s="13" t="s">
        <v>98</v>
      </c>
      <c r="D135" s="13" t="s">
        <v>99</v>
      </c>
      <c r="E135" s="16" t="s">
        <v>8</v>
      </c>
      <c r="F135" s="15" t="s">
        <v>439</v>
      </c>
      <c r="G135" s="15" t="s">
        <v>42</v>
      </c>
    </row>
    <row r="136" customFormat="false" ht="60" hidden="false" customHeight="true" outlineLevel="0" collapsed="false">
      <c r="A136" s="12" t="s">
        <v>18</v>
      </c>
      <c r="B136" s="12" t="s">
        <v>43</v>
      </c>
      <c r="C136" s="13" t="s">
        <v>98</v>
      </c>
      <c r="D136" s="13" t="s">
        <v>99</v>
      </c>
      <c r="E136" s="16" t="s">
        <v>8</v>
      </c>
      <c r="F136" s="15" t="s">
        <v>440</v>
      </c>
      <c r="G136" s="15" t="s">
        <v>44</v>
      </c>
    </row>
  </sheetData>
  <autoFilter ref="A1:G1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2026-08-24T18:04:06Z</dcterms:created>
  <dc:creator>openpyxl</dc:creator>
  <dc:description/>
  <dc:language>en-US</dc:language>
  <cp:lastModifiedBy/>
  <dcterms:modified xsi:type="dcterms:W3CDTF">2026-08-24T18:04:06Z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